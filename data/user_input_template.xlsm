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odelling\spring_school\elec_lca\elec_lca\data\"/>
    </mc:Choice>
  </mc:AlternateContent>
  <xr:revisionPtr revIDLastSave="0" documentId="13_ncr:1_{C6FF1F5D-087B-4BEE-8ED1-0DDC0C95A51D}" xr6:coauthVersionLast="47" xr6:coauthVersionMax="47" xr10:uidLastSave="{00000000-0000-0000-0000-000000000000}"/>
  <bookViews>
    <workbookView xWindow="-96" yWindow="-96" windowWidth="23232" windowHeight="12432" firstSheet="4" activeTab="4" xr2:uid="{2BB35CBE-14FB-4B74-8721-64952120167D}"/>
  </bookViews>
  <sheets>
    <sheet name="README" sheetId="1" r:id="rId1"/>
    <sheet name="new_scenario(1)" sheetId="32" r:id="rId2"/>
    <sheet name="Dropdown_list" sheetId="2" r:id="rId3"/>
    <sheet name="default_dataset" sheetId="4" r:id="rId4"/>
    <sheet name="Input_template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2" l="1"/>
  <c r="J4" i="32" s="1"/>
  <c r="J2" i="32"/>
  <c r="J5" i="3"/>
  <c r="K5" i="3" s="1"/>
  <c r="L5" i="3" s="1"/>
  <c r="M5" i="3" s="1"/>
  <c r="N5" i="3" s="1"/>
  <c r="O5" i="3" s="1"/>
  <c r="P5" i="3" s="1"/>
  <c r="Q5" i="3" s="1"/>
  <c r="R5" i="3" s="1"/>
  <c r="S5" i="3" s="1"/>
  <c r="T5" i="3" s="1"/>
  <c r="U5" i="3" s="1"/>
  <c r="V5" i="3" s="1"/>
  <c r="W5" i="3" s="1"/>
  <c r="X5" i="3" s="1"/>
  <c r="Y5" i="3" s="1"/>
  <c r="Z5" i="3" s="1"/>
  <c r="AA5" i="3" s="1"/>
  <c r="AB5" i="3" s="1"/>
  <c r="AC5" i="3" s="1"/>
  <c r="AD5" i="3" s="1"/>
  <c r="AE5" i="3" s="1"/>
  <c r="AF5" i="3" s="1"/>
  <c r="AG5" i="3" s="1"/>
  <c r="AH5" i="3" s="1"/>
  <c r="AI5" i="3" s="1"/>
  <c r="AJ5" i="3" s="1"/>
  <c r="AK5" i="3" s="1"/>
  <c r="AL5" i="3" s="1"/>
  <c r="AM5" i="3" s="1"/>
  <c r="AN5" i="3" s="1"/>
  <c r="AN4" i="3" s="1"/>
  <c r="J2" i="3"/>
  <c r="K5" i="32" l="1"/>
  <c r="J4" i="3"/>
  <c r="Z4" i="3"/>
  <c r="Y4" i="3"/>
  <c r="X4" i="3"/>
  <c r="AM4" i="3"/>
  <c r="W4" i="3"/>
  <c r="AL4" i="3"/>
  <c r="V4" i="3"/>
  <c r="AK4" i="3"/>
  <c r="U4" i="3"/>
  <c r="AJ4" i="3"/>
  <c r="T4" i="3"/>
  <c r="AI4" i="3"/>
  <c r="S4" i="3"/>
  <c r="AH4" i="3"/>
  <c r="R4" i="3"/>
  <c r="AG4" i="3"/>
  <c r="Q4" i="3"/>
  <c r="AF4" i="3"/>
  <c r="P4" i="3"/>
  <c r="AE4" i="3"/>
  <c r="O4" i="3"/>
  <c r="AD4" i="3"/>
  <c r="N4" i="3"/>
  <c r="AC4" i="3"/>
  <c r="M4" i="3"/>
  <c r="AB4" i="3"/>
  <c r="L4" i="3"/>
  <c r="AA4" i="3"/>
  <c r="K4" i="3"/>
  <c r="L5" i="32" l="1"/>
  <c r="K4" i="32"/>
  <c r="D16" i="3"/>
  <c r="M5" i="32" l="1"/>
  <c r="L4" i="32"/>
  <c r="M4" i="32" l="1"/>
  <c r="N5" i="32"/>
  <c r="O5" i="32" l="1"/>
  <c r="N4" i="32"/>
  <c r="P5" i="32" l="1"/>
  <c r="O4" i="32"/>
  <c r="Q5" i="32" l="1"/>
  <c r="P4" i="32"/>
  <c r="R5" i="32" l="1"/>
  <c r="Q4" i="32"/>
  <c r="S5" i="32" l="1"/>
  <c r="R4" i="32"/>
  <c r="T5" i="32" l="1"/>
  <c r="S4" i="32"/>
  <c r="T4" i="32" l="1"/>
  <c r="U5" i="32"/>
  <c r="V5" i="32" l="1"/>
  <c r="U4" i="32"/>
  <c r="W5" i="32" l="1"/>
  <c r="V4" i="32"/>
  <c r="X5" i="32" l="1"/>
  <c r="W4" i="32"/>
  <c r="X4" i="32" l="1"/>
  <c r="Y5" i="32"/>
  <c r="Z5" i="32" l="1"/>
  <c r="Y4" i="32"/>
  <c r="Z4" i="32" l="1"/>
  <c r="AA5" i="32"/>
  <c r="AA4" i="32" l="1"/>
  <c r="AB5" i="32"/>
  <c r="AC5" i="32" l="1"/>
  <c r="AB4" i="32"/>
  <c r="AC4" i="32" l="1"/>
  <c r="AD5" i="32"/>
  <c r="AE5" i="32" l="1"/>
  <c r="AD4" i="32"/>
  <c r="AF5" i="32" l="1"/>
  <c r="AE4" i="32"/>
  <c r="AG5" i="32" l="1"/>
  <c r="AF4" i="32"/>
  <c r="AH5" i="32" l="1"/>
  <c r="AG4" i="32"/>
  <c r="AI5" i="32" l="1"/>
  <c r="AH4" i="32"/>
  <c r="AJ5" i="32" l="1"/>
  <c r="AI4" i="32"/>
  <c r="AJ4" i="32" l="1"/>
  <c r="AK5" i="32"/>
  <c r="AL5" i="32" l="1"/>
  <c r="AK4" i="32"/>
  <c r="AM5" i="32" l="1"/>
  <c r="AL4" i="32"/>
  <c r="AN5" i="32" l="1"/>
  <c r="AN4" i="32" s="1"/>
  <c r="AM4" i="32"/>
  <c r="D16" i="32" l="1"/>
</calcChain>
</file>

<file path=xl/sharedStrings.xml><?xml version="1.0" encoding="utf-8"?>
<sst xmlns="http://schemas.openxmlformats.org/spreadsheetml/2006/main" count="3567" uniqueCount="124">
  <si>
    <t>Name of project</t>
  </si>
  <si>
    <t>Objective:</t>
  </si>
  <si>
    <t>Instruction:</t>
  </si>
  <si>
    <t>Source</t>
  </si>
  <si>
    <t>User input</t>
  </si>
  <si>
    <t>Scenario:</t>
  </si>
  <si>
    <t>Location</t>
  </si>
  <si>
    <t>from</t>
  </si>
  <si>
    <t>to</t>
  </si>
  <si>
    <t>Scenario</t>
  </si>
  <si>
    <t>location</t>
  </si>
  <si>
    <t>possible_year</t>
  </si>
  <si>
    <t>Respresented Period</t>
  </si>
  <si>
    <t>Costum</t>
  </si>
  <si>
    <t>Technology list</t>
  </si>
  <si>
    <t>Scenario name:</t>
  </si>
  <si>
    <t>(Select_scenario)</t>
  </si>
  <si>
    <t>(Select_location)</t>
  </si>
  <si>
    <t>(Select_period)</t>
  </si>
  <si>
    <t>Create costum name:</t>
  </si>
  <si>
    <t>(optional_costum_name)</t>
  </si>
  <si>
    <t>Current_measure</t>
  </si>
  <si>
    <t>Canadian_net_zero</t>
  </si>
  <si>
    <t>Global_net_zero</t>
  </si>
  <si>
    <t>Current_measure - modified</t>
  </si>
  <si>
    <t>Canadian_net_zero - modified</t>
  </si>
  <si>
    <t>Global_net_zero-modified</t>
  </si>
  <si>
    <t>tech 1</t>
  </si>
  <si>
    <t>tech2</t>
  </si>
  <si>
    <t>tech 3</t>
  </si>
  <si>
    <t>tech 5</t>
  </si>
  <si>
    <t>Validations:</t>
  </si>
  <si>
    <t>1- all grid mix are equal to 100%</t>
  </si>
  <si>
    <t>CA</t>
  </si>
  <si>
    <t>CA-AB</t>
  </si>
  <si>
    <t>CA-BC</t>
  </si>
  <si>
    <t>CA-MB</t>
  </si>
  <si>
    <t>CA-NB</t>
  </si>
  <si>
    <t>CA-NF</t>
  </si>
  <si>
    <t>CA-NS</t>
  </si>
  <si>
    <t>CA-NT</t>
  </si>
  <si>
    <t>CA-NU</t>
  </si>
  <si>
    <t>CA-ON</t>
  </si>
  <si>
    <t>CA-PE</t>
  </si>
  <si>
    <t>CA-QC</t>
  </si>
  <si>
    <t>CA-SK</t>
  </si>
  <si>
    <t>CA-YK</t>
  </si>
  <si>
    <t>Technologies</t>
  </si>
  <si>
    <t>(select_tech)</t>
  </si>
  <si>
    <t>tech3</t>
  </si>
  <si>
    <t>tech4</t>
  </si>
  <si>
    <t>tech5</t>
  </si>
  <si>
    <t>tech6</t>
  </si>
  <si>
    <t>tech7</t>
  </si>
  <si>
    <t>tech8</t>
  </si>
  <si>
    <t>tech9</t>
  </si>
  <si>
    <t>tech10</t>
  </si>
  <si>
    <t>tech11</t>
  </si>
  <si>
    <t>tech12</t>
  </si>
  <si>
    <t>tech13</t>
  </si>
  <si>
    <t>tech14</t>
  </si>
  <si>
    <t>tech15</t>
  </si>
  <si>
    <t>tech16</t>
  </si>
  <si>
    <t>tech17</t>
  </si>
  <si>
    <t>tech18</t>
  </si>
  <si>
    <t>tech19</t>
  </si>
  <si>
    <t>tech20</t>
  </si>
  <si>
    <t>tech21</t>
  </si>
  <si>
    <t>tech22</t>
  </si>
  <si>
    <t>tech23</t>
  </si>
  <si>
    <t>tech24</t>
  </si>
  <si>
    <t>tech25</t>
  </si>
  <si>
    <t>tech26</t>
  </si>
  <si>
    <t>tech27</t>
  </si>
  <si>
    <t>tech28</t>
  </si>
  <si>
    <t>tech29</t>
  </si>
  <si>
    <t>tech30</t>
  </si>
  <si>
    <t>tech31</t>
  </si>
  <si>
    <t>tech32</t>
  </si>
  <si>
    <t>tech33</t>
  </si>
  <si>
    <t>tech34</t>
  </si>
  <si>
    <t>Dimension 1</t>
  </si>
  <si>
    <t>Dimension 2</t>
  </si>
  <si>
    <t>Value</t>
  </si>
  <si>
    <t>Period</t>
  </si>
  <si>
    <t>scenario</t>
  </si>
  <si>
    <t>Unit</t>
  </si>
  <si>
    <t>Region</t>
  </si>
  <si>
    <t>Biomass</t>
  </si>
  <si>
    <t>Landfill gases</t>
  </si>
  <si>
    <t>BAU</t>
  </si>
  <si>
    <t>PJ</t>
  </si>
  <si>
    <t>AB</t>
  </si>
  <si>
    <t>Wood</t>
  </si>
  <si>
    <t>Fossil fuels</t>
  </si>
  <si>
    <t>Coal</t>
  </si>
  <si>
    <t>Heavy fuel oil</t>
  </si>
  <si>
    <t>Light fuel oil</t>
  </si>
  <si>
    <t>Natural gas</t>
  </si>
  <si>
    <t>Hydroelectricity</t>
  </si>
  <si>
    <t>Storage dam</t>
  </si>
  <si>
    <t>Solar energy</t>
  </si>
  <si>
    <t>Centralized photovoltaic panels</t>
  </si>
  <si>
    <t>Decentralized photovoltaic panels</t>
  </si>
  <si>
    <t>Wind energy</t>
  </si>
  <si>
    <t>Onshore turbines</t>
  </si>
  <si>
    <t>Other</t>
  </si>
  <si>
    <t>Hydrogen</t>
  </si>
  <si>
    <t>Geothermal energy</t>
  </si>
  <si>
    <t>Nuclear</t>
  </si>
  <si>
    <t>Small modular reactor</t>
  </si>
  <si>
    <t>NZ50</t>
  </si>
  <si>
    <t>Tidal energy</t>
  </si>
  <si>
    <t>BC</t>
  </si>
  <si>
    <t>Run-of-river</t>
  </si>
  <si>
    <t>MB</t>
  </si>
  <si>
    <t>NB</t>
  </si>
  <si>
    <t>Conventional nuclear</t>
  </si>
  <si>
    <t>NL</t>
  </si>
  <si>
    <t>NS</t>
  </si>
  <si>
    <t>ON</t>
  </si>
  <si>
    <t>PE</t>
  </si>
  <si>
    <t>QC</t>
  </si>
  <si>
    <t>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</si>
</sst>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5">
    <xf numFmtId="0" fontId="0" fillId="0" borderId="0" xfId="0"/>
    <xf numFmtId="0" fontId="3" fillId="0" borderId="0" xfId="0" applyFont="1"/>
    <xf numFmtId="0" fontId="2" fillId="3" borderId="0" xfId="0" applyFont="1" applyFill="1"/>
    <xf numFmtId="0" fontId="0" fillId="3" borderId="0" xfId="0" applyFill="1"/>
    <xf numFmtId="0" fontId="0" fillId="3" borderId="2" xfId="0" applyFill="1" applyBorder="1"/>
    <xf numFmtId="0" fontId="2" fillId="3" borderId="0" xfId="0" applyFont="1" applyFill="1" applyAlignment="1">
      <alignment horizontal="center"/>
    </xf>
    <xf numFmtId="0" fontId="0" fillId="4" borderId="3" xfId="0" applyFill="1" applyBorder="1"/>
    <xf numFmtId="0" fontId="1" fillId="5" borderId="1" xfId="1" applyFill="1"/>
    <xf numFmtId="0" fontId="1" fillId="5" borderId="1" xfId="1" applyFill="1" applyAlignment="1">
      <alignment horizontal="center"/>
    </xf>
    <xf numFmtId="0" fontId="4" fillId="3" borderId="0" xfId="0" applyFont="1" applyFill="1"/>
    <xf numFmtId="0" fontId="1" fillId="3" borderId="0" xfId="1" applyFill="1" applyBorder="1" applyAlignment="1">
      <alignment horizontal="center"/>
    </xf>
    <xf numFmtId="0" fontId="1" fillId="5" borderId="4" xfId="1" applyFill="1" applyBorder="1" applyAlignment="1">
      <alignment horizontal="center"/>
    </xf>
    <xf numFmtId="0" fontId="0" fillId="3" borderId="0" xfId="0" applyFill="1" applyAlignment="1">
      <alignment horizontal="left" indent="1"/>
    </xf>
    <xf numFmtId="0" fontId="0" fillId="3" borderId="5" xfId="0" applyFill="1" applyBorder="1"/>
    <xf numFmtId="11" fontId="0" fillId="0" borderId="0" xfId="0" applyNumberFormat="1"/>
  </cellXfs>
  <cellStyles count="2">
    <cellStyle name="Input" xfId="1" builtinId="20"/>
    <cellStyle name="Normal" xfId="0" builtinId="0"/>
  </cellStyles>
  <dxfs count="8">
    <dxf>
      <fill>
        <patternFill>
          <bgColor rgb="FFC00000"/>
        </patternFill>
      </fill>
    </dxf>
    <dxf>
      <fill>
        <patternFill>
          <bgColor rgb="FF00B05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17</xdr:row>
          <xdr:rowOff>125730</xdr:rowOff>
        </xdr:from>
        <xdr:to>
          <xdr:col>8</xdr:col>
          <xdr:colOff>163830</xdr:colOff>
          <xdr:row>24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 selecting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29</xdr:row>
          <xdr:rowOff>15240</xdr:rowOff>
        </xdr:from>
        <xdr:to>
          <xdr:col>4</xdr:col>
          <xdr:colOff>464820</xdr:colOff>
          <xdr:row>34</xdr:row>
          <xdr:rowOff>152400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1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another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148590</xdr:colOff>
          <xdr:row>22</xdr:row>
          <xdr:rowOff>91440</xdr:rowOff>
        </xdr:from>
        <xdr:to>
          <xdr:col>4</xdr:col>
          <xdr:colOff>464820</xdr:colOff>
          <xdr:row>28</xdr:row>
          <xdr:rowOff>15240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1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Gather generic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29</xdr:row>
          <xdr:rowOff>15240</xdr:rowOff>
        </xdr:from>
        <xdr:to>
          <xdr:col>4</xdr:col>
          <xdr:colOff>464820</xdr:colOff>
          <xdr:row>34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another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148590</xdr:colOff>
          <xdr:row>22</xdr:row>
          <xdr:rowOff>91440</xdr:rowOff>
        </xdr:from>
        <xdr:to>
          <xdr:col>4</xdr:col>
          <xdr:colOff>464820</xdr:colOff>
          <xdr:row>28</xdr:row>
          <xdr:rowOff>15240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Gather generic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703BE-2FFF-4E6D-8869-3968B321A5E6}">
  <sheetPr codeName="Sheet1"/>
  <dimension ref="B2:B16"/>
  <sheetViews>
    <sheetView workbookViewId="0">
      <selection activeCell="F7" sqref="F7"/>
    </sheetView>
  </sheetViews>
  <sheetFormatPr defaultRowHeight="14.4" x14ac:dyDescent="0.55000000000000004"/>
  <cols>
    <col min="2" max="2" width="13.47265625" customWidth="1"/>
  </cols>
  <sheetData>
    <row r="2" spans="2:2" ht="31.5" x14ac:dyDescent="1.2">
      <c r="B2" s="1" t="s">
        <v>0</v>
      </c>
    </row>
    <row r="5" spans="2:2" x14ac:dyDescent="0.55000000000000004">
      <c r="B5" t="s">
        <v>1</v>
      </c>
    </row>
    <row r="8" spans="2:2" x14ac:dyDescent="0.55000000000000004">
      <c r="B8" t="s">
        <v>2</v>
      </c>
    </row>
    <row r="16" spans="2:2" x14ac:dyDescent="0.55000000000000004">
      <c r="B16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duplicate_input_page">
                <anchor moveWithCells="1" sizeWithCells="1">
                  <from>
                    <xdr:col>2</xdr:col>
                    <xdr:colOff>45720</xdr:colOff>
                    <xdr:row>17</xdr:row>
                    <xdr:rowOff>125730</xdr:rowOff>
                  </from>
                  <to>
                    <xdr:col>8</xdr:col>
                    <xdr:colOff>163830</xdr:colOff>
                    <xdr:row>24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08215-6637-44C5-AAD0-9DB03ECEDC96}">
  <sheetPr codeName="Sheet5"/>
  <dimension ref="B2:AN16"/>
  <sheetViews>
    <sheetView zoomScale="81" zoomScaleNormal="81" workbookViewId="0">
      <selection activeCell="O22" sqref="O21:O22"/>
    </sheetView>
  </sheetViews>
  <sheetFormatPr defaultRowHeight="14.4" x14ac:dyDescent="0.55000000000000004"/>
  <cols>
    <col min="1" max="1" width="2.89453125" style="3" customWidth="1"/>
    <col min="2" max="2" width="18.41796875" style="3" customWidth="1"/>
    <col min="3" max="3" width="14.41796875" style="3" customWidth="1"/>
    <col min="4" max="4" width="8.83984375" style="3"/>
    <col min="5" max="5" width="12.26171875" style="3" customWidth="1"/>
    <col min="6" max="6" width="1" style="3" customWidth="1"/>
    <col min="7" max="7" width="0.578125" style="6" customWidth="1"/>
    <col min="8" max="8" width="0.68359375" style="3" customWidth="1"/>
    <col min="9" max="9" width="15.578125" style="3" customWidth="1"/>
    <col min="10" max="10" width="5.47265625" style="3" customWidth="1"/>
    <col min="11" max="40" width="5.20703125" style="3" customWidth="1"/>
    <col min="41" max="16384" width="8.83984375" style="3"/>
  </cols>
  <sheetData>
    <row r="2" spans="2:40" ht="15.6" x14ac:dyDescent="0.6">
      <c r="B2" s="2" t="s">
        <v>4</v>
      </c>
      <c r="I2" s="9" t="s">
        <v>15</v>
      </c>
      <c r="J2" s="3" t="str">
        <f>IF(OR(C5="", C5="(optional_costum_name)"),_xlfn.CONCAT(C7,"_",C9,"_",C12,"_",E12),C5)</f>
        <v>(Select_scenario)_(Select_location)_2023_2027</v>
      </c>
    </row>
    <row r="4" spans="2:40" hidden="1" x14ac:dyDescent="0.55000000000000004">
      <c r="J4" s="3">
        <f>IF(NOT(J5 = ""), SUM(J6:J100), 1)</f>
        <v>0</v>
      </c>
      <c r="K4" s="3">
        <f t="shared" ref="K4:AM4" si="0">IF(NOT(K5 = ""), SUM(K6:K100), 1)</f>
        <v>0</v>
      </c>
      <c r="L4" s="3">
        <f t="shared" si="0"/>
        <v>0</v>
      </c>
      <c r="M4" s="3">
        <f t="shared" si="0"/>
        <v>0</v>
      </c>
      <c r="N4" s="3">
        <f t="shared" si="0"/>
        <v>0</v>
      </c>
      <c r="O4" s="3">
        <f t="shared" si="0"/>
        <v>1</v>
      </c>
      <c r="P4" s="3">
        <f t="shared" si="0"/>
        <v>1</v>
      </c>
      <c r="Q4" s="3">
        <f t="shared" si="0"/>
        <v>1</v>
      </c>
      <c r="R4" s="3">
        <f t="shared" si="0"/>
        <v>1</v>
      </c>
      <c r="S4" s="3">
        <f t="shared" si="0"/>
        <v>1</v>
      </c>
      <c r="T4" s="3">
        <f t="shared" si="0"/>
        <v>1</v>
      </c>
      <c r="U4" s="3">
        <f t="shared" si="0"/>
        <v>1</v>
      </c>
      <c r="V4" s="3">
        <f t="shared" si="0"/>
        <v>1</v>
      </c>
      <c r="W4" s="3">
        <f t="shared" si="0"/>
        <v>1</v>
      </c>
      <c r="X4" s="3">
        <f t="shared" si="0"/>
        <v>1</v>
      </c>
      <c r="Y4" s="3">
        <f t="shared" si="0"/>
        <v>1</v>
      </c>
      <c r="Z4" s="3">
        <f t="shared" si="0"/>
        <v>1</v>
      </c>
      <c r="AA4" s="3">
        <f t="shared" si="0"/>
        <v>1</v>
      </c>
      <c r="AB4" s="3">
        <f t="shared" si="0"/>
        <v>1</v>
      </c>
      <c r="AC4" s="3">
        <f t="shared" si="0"/>
        <v>1</v>
      </c>
      <c r="AD4" s="3">
        <f t="shared" si="0"/>
        <v>1</v>
      </c>
      <c r="AE4" s="3">
        <f t="shared" si="0"/>
        <v>1</v>
      </c>
      <c r="AF4" s="3">
        <f t="shared" si="0"/>
        <v>1</v>
      </c>
      <c r="AG4" s="3">
        <f t="shared" si="0"/>
        <v>1</v>
      </c>
      <c r="AH4" s="3">
        <f t="shared" si="0"/>
        <v>1</v>
      </c>
      <c r="AI4" s="3">
        <f t="shared" si="0"/>
        <v>1</v>
      </c>
      <c r="AJ4" s="3">
        <f t="shared" si="0"/>
        <v>1</v>
      </c>
      <c r="AK4" s="3">
        <f t="shared" si="0"/>
        <v>1</v>
      </c>
      <c r="AL4" s="3">
        <f t="shared" si="0"/>
        <v>1</v>
      </c>
      <c r="AM4" s="3">
        <f t="shared" si="0"/>
        <v>1</v>
      </c>
      <c r="AN4" s="3">
        <f>IF(NOT(AN5 = ""), SUM(AN6:AN100), 1)</f>
        <v>1</v>
      </c>
    </row>
    <row r="5" spans="2:40" ht="14.7" thickBot="1" x14ac:dyDescent="0.6">
      <c r="B5" s="2" t="s">
        <v>19</v>
      </c>
      <c r="C5" s="4" t="s">
        <v>20</v>
      </c>
      <c r="D5" s="4"/>
      <c r="E5" s="4"/>
      <c r="I5" s="3" t="s">
        <v>14</v>
      </c>
      <c r="J5" s="3">
        <f>IF(NOT(ISNUMBER(C12)),"",C12)</f>
        <v>2023</v>
      </c>
      <c r="K5" s="3">
        <f>IF(ISNUMBER($E$12),IF($E$12&gt;J5,J5+1,""),"")</f>
        <v>2024</v>
      </c>
      <c r="L5" s="3">
        <f t="shared" ref="L5:AN5" si="1">IF(ISNUMBER($E$12),IF($E$12&gt;K5,K5+1,""),"")</f>
        <v>2025</v>
      </c>
      <c r="M5" s="3">
        <f t="shared" si="1"/>
        <v>2026</v>
      </c>
      <c r="N5" s="3">
        <f t="shared" si="1"/>
        <v>2027</v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3" t="str">
        <f t="shared" si="1"/>
        <v/>
      </c>
      <c r="S5" s="3" t="str">
        <f t="shared" si="1"/>
        <v/>
      </c>
      <c r="T5" s="3" t="str">
        <f t="shared" si="1"/>
        <v/>
      </c>
      <c r="U5" s="3" t="str">
        <f t="shared" si="1"/>
        <v/>
      </c>
      <c r="V5" s="3" t="str">
        <f t="shared" si="1"/>
        <v/>
      </c>
      <c r="W5" s="3" t="str">
        <f t="shared" si="1"/>
        <v/>
      </c>
      <c r="X5" s="3" t="str">
        <f t="shared" si="1"/>
        <v/>
      </c>
      <c r="Y5" s="3" t="str">
        <f t="shared" si="1"/>
        <v/>
      </c>
      <c r="Z5" s="3" t="str">
        <f t="shared" si="1"/>
        <v/>
      </c>
      <c r="AA5" s="3" t="str">
        <f t="shared" si="1"/>
        <v/>
      </c>
      <c r="AB5" s="3" t="str">
        <f t="shared" si="1"/>
        <v/>
      </c>
      <c r="AC5" s="3" t="str">
        <f t="shared" si="1"/>
        <v/>
      </c>
      <c r="AD5" s="3" t="str">
        <f t="shared" si="1"/>
        <v/>
      </c>
      <c r="AE5" s="3" t="str">
        <f t="shared" si="1"/>
        <v/>
      </c>
      <c r="AF5" s="3" t="str">
        <f t="shared" si="1"/>
        <v/>
      </c>
      <c r="AG5" s="3" t="str">
        <f t="shared" si="1"/>
        <v/>
      </c>
      <c r="AH5" s="3" t="str">
        <f t="shared" si="1"/>
        <v/>
      </c>
      <c r="AI5" s="3" t="str">
        <f t="shared" si="1"/>
        <v/>
      </c>
      <c r="AJ5" s="3" t="str">
        <f t="shared" si="1"/>
        <v/>
      </c>
      <c r="AK5" s="3" t="str">
        <f t="shared" si="1"/>
        <v/>
      </c>
      <c r="AL5" s="3" t="str">
        <f t="shared" si="1"/>
        <v/>
      </c>
      <c r="AM5" s="3" t="str">
        <f t="shared" si="1"/>
        <v/>
      </c>
      <c r="AN5" s="3" t="str">
        <f t="shared" si="1"/>
        <v/>
      </c>
    </row>
    <row r="6" spans="2:40" x14ac:dyDescent="0.55000000000000004">
      <c r="I6" s="3" t="s">
        <v>28</v>
      </c>
    </row>
    <row r="7" spans="2:40" x14ac:dyDescent="0.55000000000000004">
      <c r="B7" s="2" t="s">
        <v>5</v>
      </c>
      <c r="C7" s="7" t="s">
        <v>16</v>
      </c>
    </row>
    <row r="8" spans="2:40" ht="14.1" customHeight="1" x14ac:dyDescent="0.55000000000000004"/>
    <row r="9" spans="2:40" x14ac:dyDescent="0.55000000000000004">
      <c r="B9" s="2" t="s">
        <v>6</v>
      </c>
      <c r="C9" s="7" t="s">
        <v>17</v>
      </c>
    </row>
    <row r="10" spans="2:40" ht="14.7" customHeight="1" x14ac:dyDescent="0.55000000000000004"/>
    <row r="11" spans="2:40" x14ac:dyDescent="0.55000000000000004">
      <c r="B11" s="2" t="s">
        <v>12</v>
      </c>
    </row>
    <row r="12" spans="2:40" x14ac:dyDescent="0.55000000000000004">
      <c r="B12" s="5" t="s">
        <v>7</v>
      </c>
      <c r="C12" s="8">
        <v>2023</v>
      </c>
      <c r="D12" s="5" t="s">
        <v>8</v>
      </c>
      <c r="E12" s="11">
        <v>2027</v>
      </c>
      <c r="F12" s="10"/>
    </row>
    <row r="15" spans="2:40" ht="14.7" thickBot="1" x14ac:dyDescent="0.6">
      <c r="B15" s="3" t="s">
        <v>31</v>
      </c>
    </row>
    <row r="16" spans="2:40" ht="14.7" thickBot="1" x14ac:dyDescent="0.6">
      <c r="B16" s="12" t="s">
        <v>32</v>
      </c>
      <c r="D16" s="13" t="str">
        <f>IF(COUNTIF(J4:AN4,1)=31,TRUE, "Error")</f>
        <v>Error</v>
      </c>
    </row>
  </sheetData>
  <conditionalFormatting sqref="I5:AN33">
    <cfRule type="cellIs" dxfId="7" priority="4" operator="notEqual">
      <formula>""</formula>
    </cfRule>
  </conditionalFormatting>
  <conditionalFormatting sqref="J6:AN33">
    <cfRule type="expression" dxfId="6" priority="3">
      <formula>AND(NOT(J$5 = ""), NOT($I6 = ""))</formula>
    </cfRule>
  </conditionalFormatting>
  <conditionalFormatting sqref="D16">
    <cfRule type="cellIs" dxfId="5" priority="1" operator="notEqual">
      <formula>TRUE</formula>
    </cfRule>
    <cfRule type="cellIs" dxfId="4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duplicate_input_page">
                <anchor moveWithCells="1" sizeWithCells="1">
                  <from>
                    <xdr:col>1</xdr:col>
                    <xdr:colOff>171450</xdr:colOff>
                    <xdr:row>29</xdr:row>
                    <xdr:rowOff>15240</xdr:rowOff>
                  </from>
                  <to>
                    <xdr:col>4</xdr:col>
                    <xdr:colOff>464820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3_Click">
                <anchor moveWithCells="1" sizeWithCells="1">
                  <from>
                    <xdr:col>1</xdr:col>
                    <xdr:colOff>148590</xdr:colOff>
                    <xdr:row>22</xdr:row>
                    <xdr:rowOff>91440</xdr:rowOff>
                  </from>
                  <to>
                    <xdr:col>4</xdr:col>
                    <xdr:colOff>464820</xdr:colOff>
                    <xdr:row>28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EBC25A6-C441-4AF3-8A98-F91EE7E8FCC2}">
          <x14:formula1>
            <xm:f>Dropdown_list!$C$2:$C$33</xm:f>
          </x14:formula1>
          <xm:sqref>E12:F12 C12</xm:sqref>
        </x14:dataValidation>
        <x14:dataValidation type="list" allowBlank="1" showInputMessage="1" showErrorMessage="1" xr:uid="{5FA7F6A0-E425-46B0-B9A4-BF042FA292BD}">
          <x14:formula1>
            <xm:f>Dropdown_list!$B$2:$B$16</xm:f>
          </x14:formula1>
          <xm:sqref>C9</xm:sqref>
        </x14:dataValidation>
        <x14:dataValidation type="list" allowBlank="1" showInputMessage="1" showErrorMessage="1" xr:uid="{82DDEF4F-B1CA-4192-A780-1AD77DCA3AC0}">
          <x14:formula1>
            <xm:f>Dropdown_list!$A$2:$A$9</xm:f>
          </x14:formula1>
          <xm:sqref>C7</xm:sqref>
        </x14:dataValidation>
        <x14:dataValidation type="list" allowBlank="1" showInputMessage="1" showErrorMessage="1" xr:uid="{E7F0B49D-E8BE-4297-BA5E-BCC68C16E7D0}">
          <x14:formula1>
            <xm:f>Dropdown_list!$D$2:$D$241</xm:f>
          </x14:formula1>
          <xm:sqref>I6:I148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0A35-5712-4CFC-9F27-E60A59AE423A}">
  <sheetPr codeName="Sheet2"/>
  <dimension ref="A1:D36"/>
  <sheetViews>
    <sheetView workbookViewId="0">
      <selection activeCell="F10" sqref="F10"/>
    </sheetView>
  </sheetViews>
  <sheetFormatPr defaultRowHeight="14.4" x14ac:dyDescent="0.55000000000000004"/>
  <cols>
    <col min="1" max="1" width="24.578125" customWidth="1"/>
    <col min="2" max="2" width="13.5234375" customWidth="1"/>
    <col min="3" max="3" width="13.3125" customWidth="1"/>
  </cols>
  <sheetData>
    <row r="1" spans="1:4" x14ac:dyDescent="0.55000000000000004">
      <c r="A1" t="s">
        <v>9</v>
      </c>
      <c r="B1" t="s">
        <v>10</v>
      </c>
      <c r="C1" t="s">
        <v>11</v>
      </c>
      <c r="D1" t="s">
        <v>47</v>
      </c>
    </row>
    <row r="2" spans="1:4" x14ac:dyDescent="0.55000000000000004">
      <c r="A2" t="s">
        <v>16</v>
      </c>
      <c r="B2" t="s">
        <v>17</v>
      </c>
      <c r="C2" t="s">
        <v>18</v>
      </c>
      <c r="D2" t="s">
        <v>48</v>
      </c>
    </row>
    <row r="3" spans="1:4" x14ac:dyDescent="0.55000000000000004">
      <c r="A3" t="s">
        <v>21</v>
      </c>
      <c r="B3" t="s">
        <v>33</v>
      </c>
      <c r="C3">
        <v>2020</v>
      </c>
      <c r="D3" t="s">
        <v>89</v>
      </c>
    </row>
    <row r="4" spans="1:4" x14ac:dyDescent="0.55000000000000004">
      <c r="A4" t="s">
        <v>22</v>
      </c>
      <c r="B4" t="s">
        <v>34</v>
      </c>
      <c r="C4">
        <v>2021</v>
      </c>
      <c r="D4" t="s">
        <v>28</v>
      </c>
    </row>
    <row r="5" spans="1:4" x14ac:dyDescent="0.55000000000000004">
      <c r="A5" t="s">
        <v>23</v>
      </c>
      <c r="B5" t="s">
        <v>35</v>
      </c>
      <c r="C5">
        <v>2022</v>
      </c>
      <c r="D5" t="s">
        <v>49</v>
      </c>
    </row>
    <row r="6" spans="1:4" x14ac:dyDescent="0.55000000000000004">
      <c r="A6" t="s">
        <v>24</v>
      </c>
      <c r="B6" t="s">
        <v>36</v>
      </c>
      <c r="C6">
        <v>2023</v>
      </c>
      <c r="D6" t="s">
        <v>50</v>
      </c>
    </row>
    <row r="7" spans="1:4" x14ac:dyDescent="0.55000000000000004">
      <c r="A7" t="s">
        <v>25</v>
      </c>
      <c r="B7" t="s">
        <v>37</v>
      </c>
      <c r="C7">
        <v>2024</v>
      </c>
      <c r="D7" t="s">
        <v>51</v>
      </c>
    </row>
    <row r="8" spans="1:4" x14ac:dyDescent="0.55000000000000004">
      <c r="A8" t="s">
        <v>26</v>
      </c>
      <c r="B8" t="s">
        <v>38</v>
      </c>
      <c r="C8">
        <v>2025</v>
      </c>
      <c r="D8" t="s">
        <v>52</v>
      </c>
    </row>
    <row r="9" spans="1:4" x14ac:dyDescent="0.55000000000000004">
      <c r="A9" t="s">
        <v>13</v>
      </c>
      <c r="B9" t="s">
        <v>39</v>
      </c>
      <c r="C9">
        <v>2026</v>
      </c>
      <c r="D9" t="s">
        <v>53</v>
      </c>
    </row>
    <row r="10" spans="1:4" x14ac:dyDescent="0.55000000000000004">
      <c r="B10" t="s">
        <v>40</v>
      </c>
      <c r="C10">
        <v>2027</v>
      </c>
      <c r="D10" t="s">
        <v>54</v>
      </c>
    </row>
    <row r="11" spans="1:4" x14ac:dyDescent="0.55000000000000004">
      <c r="B11" t="s">
        <v>41</v>
      </c>
      <c r="C11">
        <v>2028</v>
      </c>
      <c r="D11" t="s">
        <v>55</v>
      </c>
    </row>
    <row r="12" spans="1:4" x14ac:dyDescent="0.55000000000000004">
      <c r="B12" t="s">
        <v>42</v>
      </c>
      <c r="C12">
        <v>2029</v>
      </c>
      <c r="D12" t="s">
        <v>56</v>
      </c>
    </row>
    <row r="13" spans="1:4" x14ac:dyDescent="0.55000000000000004">
      <c r="B13" t="s">
        <v>43</v>
      </c>
      <c r="C13">
        <v>2030</v>
      </c>
      <c r="D13" t="s">
        <v>57</v>
      </c>
    </row>
    <row r="14" spans="1:4" x14ac:dyDescent="0.55000000000000004">
      <c r="B14" t="s">
        <v>44</v>
      </c>
      <c r="C14">
        <v>2031</v>
      </c>
      <c r="D14" t="s">
        <v>58</v>
      </c>
    </row>
    <row r="15" spans="1:4" x14ac:dyDescent="0.55000000000000004">
      <c r="B15" t="s">
        <v>45</v>
      </c>
      <c r="C15">
        <v>2032</v>
      </c>
      <c r="D15" t="s">
        <v>59</v>
      </c>
    </row>
    <row r="16" spans="1:4" x14ac:dyDescent="0.55000000000000004">
      <c r="B16" t="s">
        <v>46</v>
      </c>
      <c r="C16">
        <v>2033</v>
      </c>
      <c r="D16" t="s">
        <v>60</v>
      </c>
    </row>
    <row r="17" spans="3:4" x14ac:dyDescent="0.55000000000000004">
      <c r="C17">
        <v>2034</v>
      </c>
      <c r="D17" t="s">
        <v>61</v>
      </c>
    </row>
    <row r="18" spans="3:4" x14ac:dyDescent="0.55000000000000004">
      <c r="C18">
        <v>2035</v>
      </c>
      <c r="D18" t="s">
        <v>62</v>
      </c>
    </row>
    <row r="19" spans="3:4" x14ac:dyDescent="0.55000000000000004">
      <c r="C19">
        <v>2036</v>
      </c>
      <c r="D19" t="s">
        <v>63</v>
      </c>
    </row>
    <row r="20" spans="3:4" x14ac:dyDescent="0.55000000000000004">
      <c r="C20">
        <v>2037</v>
      </c>
      <c r="D20" t="s">
        <v>64</v>
      </c>
    </row>
    <row r="21" spans="3:4" x14ac:dyDescent="0.55000000000000004">
      <c r="C21">
        <v>2038</v>
      </c>
      <c r="D21" t="s">
        <v>65</v>
      </c>
    </row>
    <row r="22" spans="3:4" x14ac:dyDescent="0.55000000000000004">
      <c r="C22">
        <v>2039</v>
      </c>
      <c r="D22" t="s">
        <v>66</v>
      </c>
    </row>
    <row r="23" spans="3:4" x14ac:dyDescent="0.55000000000000004">
      <c r="C23">
        <v>2040</v>
      </c>
      <c r="D23" t="s">
        <v>67</v>
      </c>
    </row>
    <row r="24" spans="3:4" x14ac:dyDescent="0.55000000000000004">
      <c r="C24">
        <v>2041</v>
      </c>
      <c r="D24" t="s">
        <v>68</v>
      </c>
    </row>
    <row r="25" spans="3:4" x14ac:dyDescent="0.55000000000000004">
      <c r="C25">
        <v>2042</v>
      </c>
      <c r="D25" t="s">
        <v>69</v>
      </c>
    </row>
    <row r="26" spans="3:4" x14ac:dyDescent="0.55000000000000004">
      <c r="C26">
        <v>2043</v>
      </c>
      <c r="D26" t="s">
        <v>70</v>
      </c>
    </row>
    <row r="27" spans="3:4" x14ac:dyDescent="0.55000000000000004">
      <c r="C27">
        <v>2044</v>
      </c>
      <c r="D27" t="s">
        <v>71</v>
      </c>
    </row>
    <row r="28" spans="3:4" x14ac:dyDescent="0.55000000000000004">
      <c r="C28">
        <v>2045</v>
      </c>
      <c r="D28" t="s">
        <v>72</v>
      </c>
    </row>
    <row r="29" spans="3:4" x14ac:dyDescent="0.55000000000000004">
      <c r="C29">
        <v>2046</v>
      </c>
      <c r="D29" t="s">
        <v>73</v>
      </c>
    </row>
    <row r="30" spans="3:4" x14ac:dyDescent="0.55000000000000004">
      <c r="C30">
        <v>2047</v>
      </c>
      <c r="D30" t="s">
        <v>74</v>
      </c>
    </row>
    <row r="31" spans="3:4" x14ac:dyDescent="0.55000000000000004">
      <c r="C31">
        <v>2048</v>
      </c>
      <c r="D31" t="s">
        <v>75</v>
      </c>
    </row>
    <row r="32" spans="3:4" x14ac:dyDescent="0.55000000000000004">
      <c r="C32">
        <v>2049</v>
      </c>
      <c r="D32" t="s">
        <v>76</v>
      </c>
    </row>
    <row r="33" spans="3:4" x14ac:dyDescent="0.55000000000000004">
      <c r="C33">
        <v>2050</v>
      </c>
      <c r="D33" t="s">
        <v>77</v>
      </c>
    </row>
    <row r="34" spans="3:4" x14ac:dyDescent="0.55000000000000004">
      <c r="D34" t="s">
        <v>78</v>
      </c>
    </row>
    <row r="35" spans="3:4" x14ac:dyDescent="0.55000000000000004">
      <c r="D35" t="s">
        <v>79</v>
      </c>
    </row>
    <row r="36" spans="3:4" x14ac:dyDescent="0.55000000000000004">
      <c r="D36" t="s">
        <v>80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3CB04-F62B-4F86-BF47-E1C528BEDC23}">
  <sheetPr codeName="Sheet3"/>
  <dimension ref="A1:G693"/>
  <sheetViews>
    <sheetView zoomScale="220" zoomScaleNormal="220" workbookViewId="0">
      <selection activeCell="B2" sqref="B2"/>
    </sheetView>
  </sheetViews>
  <sheetFormatPr defaultRowHeight="14.4" x14ac:dyDescent="0.55000000000000004"/>
  <cols>
    <col min="1" max="1" width="17.734375" customWidth="1"/>
    <col min="2" max="2" width="23.734375" customWidth="1"/>
  </cols>
  <sheetData>
    <row r="1" spans="1:7" x14ac:dyDescent="0.55000000000000004">
      <c r="A1" t="s">
        <v>81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</row>
    <row r="2" spans="1:7" x14ac:dyDescent="0.55000000000000004">
      <c r="A2" t="s">
        <v>88</v>
      </c>
      <c r="B2" t="s">
        <v>89</v>
      </c>
      <c r="C2" s="14">
        <v>73000000000000</v>
      </c>
      <c r="D2">
        <v>2020</v>
      </c>
      <c r="E2" t="s">
        <v>90</v>
      </c>
      <c r="F2" t="s">
        <v>91</v>
      </c>
      <c r="G2" t="s">
        <v>92</v>
      </c>
    </row>
    <row r="3" spans="1:7" x14ac:dyDescent="0.55000000000000004">
      <c r="A3" t="s">
        <v>88</v>
      </c>
      <c r="B3" t="s">
        <v>93</v>
      </c>
      <c r="C3" s="14">
        <v>6342000000000000</v>
      </c>
      <c r="D3">
        <v>2020</v>
      </c>
      <c r="E3" t="s">
        <v>90</v>
      </c>
      <c r="F3" t="s">
        <v>91</v>
      </c>
      <c r="G3" t="s">
        <v>92</v>
      </c>
    </row>
    <row r="4" spans="1:7" x14ac:dyDescent="0.55000000000000004">
      <c r="A4" t="s">
        <v>94</v>
      </c>
      <c r="B4" t="s">
        <v>95</v>
      </c>
      <c r="C4" s="14">
        <v>7.82E+16</v>
      </c>
      <c r="D4">
        <v>2020</v>
      </c>
      <c r="E4" t="s">
        <v>90</v>
      </c>
      <c r="F4" t="s">
        <v>91</v>
      </c>
      <c r="G4" t="s">
        <v>92</v>
      </c>
    </row>
    <row r="5" spans="1:7" x14ac:dyDescent="0.55000000000000004">
      <c r="A5" t="s">
        <v>94</v>
      </c>
      <c r="B5" t="s">
        <v>96</v>
      </c>
      <c r="C5" s="14">
        <v>68000000000000</v>
      </c>
      <c r="D5">
        <v>2020</v>
      </c>
      <c r="E5" t="s">
        <v>90</v>
      </c>
      <c r="F5" t="s">
        <v>91</v>
      </c>
      <c r="G5" t="s">
        <v>92</v>
      </c>
    </row>
    <row r="6" spans="1:7" x14ac:dyDescent="0.55000000000000004">
      <c r="A6" t="s">
        <v>94</v>
      </c>
      <c r="B6" t="s">
        <v>97</v>
      </c>
      <c r="C6" s="14">
        <v>23000000000000</v>
      </c>
      <c r="D6">
        <v>2020</v>
      </c>
      <c r="E6" t="s">
        <v>90</v>
      </c>
      <c r="F6" t="s">
        <v>91</v>
      </c>
      <c r="G6" t="s">
        <v>92</v>
      </c>
    </row>
    <row r="7" spans="1:7" x14ac:dyDescent="0.55000000000000004">
      <c r="A7" t="s">
        <v>94</v>
      </c>
      <c r="B7" t="s">
        <v>98</v>
      </c>
      <c r="C7" s="14">
        <v>1.37E+17</v>
      </c>
      <c r="D7">
        <v>2020</v>
      </c>
      <c r="E7" t="s">
        <v>90</v>
      </c>
      <c r="F7" t="s">
        <v>91</v>
      </c>
      <c r="G7" t="s">
        <v>92</v>
      </c>
    </row>
    <row r="8" spans="1:7" x14ac:dyDescent="0.55000000000000004">
      <c r="A8" t="s">
        <v>99</v>
      </c>
      <c r="B8" t="s">
        <v>100</v>
      </c>
      <c r="C8" s="14">
        <v>7745000000000000</v>
      </c>
      <c r="D8">
        <v>2020</v>
      </c>
      <c r="E8" t="s">
        <v>90</v>
      </c>
      <c r="F8" t="s">
        <v>91</v>
      </c>
      <c r="G8" t="s">
        <v>92</v>
      </c>
    </row>
    <row r="9" spans="1:7" x14ac:dyDescent="0.55000000000000004">
      <c r="A9" t="s">
        <v>101</v>
      </c>
      <c r="B9" t="s">
        <v>102</v>
      </c>
      <c r="C9" s="14">
        <v>94000000000000</v>
      </c>
      <c r="D9">
        <v>2020</v>
      </c>
      <c r="E9" t="s">
        <v>90</v>
      </c>
      <c r="F9" t="s">
        <v>91</v>
      </c>
      <c r="G9" t="s">
        <v>92</v>
      </c>
    </row>
    <row r="10" spans="1:7" x14ac:dyDescent="0.55000000000000004">
      <c r="A10" t="s">
        <v>101</v>
      </c>
      <c r="B10" t="s">
        <v>103</v>
      </c>
      <c r="C10" s="14">
        <v>268000000000000</v>
      </c>
      <c r="D10">
        <v>2020</v>
      </c>
      <c r="E10" t="s">
        <v>90</v>
      </c>
      <c r="F10" t="s">
        <v>91</v>
      </c>
      <c r="G10" t="s">
        <v>92</v>
      </c>
    </row>
    <row r="11" spans="1:7" x14ac:dyDescent="0.55000000000000004">
      <c r="A11" t="s">
        <v>104</v>
      </c>
      <c r="B11" t="s">
        <v>105</v>
      </c>
      <c r="C11" s="14">
        <v>1.47E+16</v>
      </c>
      <c r="D11">
        <v>2020</v>
      </c>
      <c r="E11" t="s">
        <v>90</v>
      </c>
      <c r="F11" t="s">
        <v>91</v>
      </c>
      <c r="G11" t="s">
        <v>92</v>
      </c>
    </row>
    <row r="12" spans="1:7" x14ac:dyDescent="0.55000000000000004">
      <c r="A12" t="s">
        <v>88</v>
      </c>
      <c r="B12" t="s">
        <v>89</v>
      </c>
      <c r="C12" s="14">
        <v>74000000000000</v>
      </c>
      <c r="D12">
        <v>2030</v>
      </c>
      <c r="E12" t="s">
        <v>90</v>
      </c>
      <c r="F12" t="s">
        <v>91</v>
      </c>
      <c r="G12" t="s">
        <v>92</v>
      </c>
    </row>
    <row r="13" spans="1:7" x14ac:dyDescent="0.55000000000000004">
      <c r="A13" t="s">
        <v>88</v>
      </c>
      <c r="B13" t="s">
        <v>93</v>
      </c>
      <c r="C13" s="14">
        <v>7505000000000000</v>
      </c>
      <c r="D13">
        <v>2030</v>
      </c>
      <c r="E13" t="s">
        <v>90</v>
      </c>
      <c r="F13" t="s">
        <v>91</v>
      </c>
      <c r="G13" t="s">
        <v>92</v>
      </c>
    </row>
    <row r="14" spans="1:7" x14ac:dyDescent="0.55000000000000004">
      <c r="A14" t="s">
        <v>94</v>
      </c>
      <c r="B14" t="s">
        <v>96</v>
      </c>
      <c r="C14" s="14">
        <v>45000000000000</v>
      </c>
      <c r="D14">
        <v>2030</v>
      </c>
      <c r="E14" t="s">
        <v>90</v>
      </c>
      <c r="F14" t="s">
        <v>91</v>
      </c>
      <c r="G14" t="s">
        <v>92</v>
      </c>
    </row>
    <row r="15" spans="1:7" x14ac:dyDescent="0.55000000000000004">
      <c r="A15" t="s">
        <v>94</v>
      </c>
      <c r="B15" t="s">
        <v>97</v>
      </c>
      <c r="C15" s="14">
        <v>12000000000000</v>
      </c>
      <c r="D15">
        <v>2030</v>
      </c>
      <c r="E15" t="s">
        <v>90</v>
      </c>
      <c r="F15" t="s">
        <v>91</v>
      </c>
      <c r="G15" t="s">
        <v>92</v>
      </c>
    </row>
    <row r="16" spans="1:7" x14ac:dyDescent="0.55000000000000004">
      <c r="A16" t="s">
        <v>94</v>
      </c>
      <c r="B16" t="s">
        <v>98</v>
      </c>
      <c r="C16" s="14">
        <v>5.27E+16</v>
      </c>
      <c r="D16">
        <v>2030</v>
      </c>
      <c r="E16" t="s">
        <v>90</v>
      </c>
      <c r="F16" t="s">
        <v>91</v>
      </c>
      <c r="G16" t="s">
        <v>92</v>
      </c>
    </row>
    <row r="17" spans="1:7" x14ac:dyDescent="0.55000000000000004">
      <c r="A17" t="s">
        <v>99</v>
      </c>
      <c r="B17" t="s">
        <v>100</v>
      </c>
      <c r="C17" s="14">
        <v>7767000000000000</v>
      </c>
      <c r="D17">
        <v>2030</v>
      </c>
      <c r="E17" t="s">
        <v>90</v>
      </c>
      <c r="F17" t="s">
        <v>91</v>
      </c>
      <c r="G17" t="s">
        <v>92</v>
      </c>
    </row>
    <row r="18" spans="1:7" x14ac:dyDescent="0.55000000000000004">
      <c r="A18" t="s">
        <v>106</v>
      </c>
      <c r="B18" t="s">
        <v>107</v>
      </c>
      <c r="C18" s="14">
        <v>2.04E+16</v>
      </c>
      <c r="D18">
        <v>2030</v>
      </c>
      <c r="E18" t="s">
        <v>90</v>
      </c>
      <c r="F18" t="s">
        <v>91</v>
      </c>
      <c r="G18" t="s">
        <v>92</v>
      </c>
    </row>
    <row r="19" spans="1:7" x14ac:dyDescent="0.55000000000000004">
      <c r="A19" t="s">
        <v>101</v>
      </c>
      <c r="B19" t="s">
        <v>102</v>
      </c>
      <c r="C19" s="14">
        <v>4679000000000000</v>
      </c>
      <c r="D19">
        <v>2030</v>
      </c>
      <c r="E19" t="s">
        <v>90</v>
      </c>
      <c r="F19" t="s">
        <v>91</v>
      </c>
      <c r="G19" t="s">
        <v>92</v>
      </c>
    </row>
    <row r="20" spans="1:7" x14ac:dyDescent="0.55000000000000004">
      <c r="A20" t="s">
        <v>101</v>
      </c>
      <c r="B20" t="s">
        <v>103</v>
      </c>
      <c r="C20" s="14">
        <v>1726000000000000</v>
      </c>
      <c r="D20">
        <v>2030</v>
      </c>
      <c r="E20" t="s">
        <v>90</v>
      </c>
      <c r="F20" t="s">
        <v>91</v>
      </c>
      <c r="G20" t="s">
        <v>92</v>
      </c>
    </row>
    <row r="21" spans="1:7" x14ac:dyDescent="0.55000000000000004">
      <c r="A21" t="s">
        <v>104</v>
      </c>
      <c r="B21" t="s">
        <v>105</v>
      </c>
      <c r="C21" s="14">
        <v>7.7E+16</v>
      </c>
      <c r="D21">
        <v>2030</v>
      </c>
      <c r="E21" t="s">
        <v>90</v>
      </c>
      <c r="F21" t="s">
        <v>91</v>
      </c>
      <c r="G21" t="s">
        <v>92</v>
      </c>
    </row>
    <row r="22" spans="1:7" x14ac:dyDescent="0.55000000000000004">
      <c r="A22" t="s">
        <v>88</v>
      </c>
      <c r="B22" t="s">
        <v>89</v>
      </c>
      <c r="C22" s="14">
        <v>102000000000000</v>
      </c>
      <c r="D22">
        <v>2040</v>
      </c>
      <c r="E22" t="s">
        <v>90</v>
      </c>
      <c r="F22" t="s">
        <v>91</v>
      </c>
      <c r="G22" t="s">
        <v>92</v>
      </c>
    </row>
    <row r="23" spans="1:7" x14ac:dyDescent="0.55000000000000004">
      <c r="A23" t="s">
        <v>88</v>
      </c>
      <c r="B23" t="s">
        <v>93</v>
      </c>
      <c r="C23" s="14">
        <v>7136000000000000</v>
      </c>
      <c r="D23">
        <v>2040</v>
      </c>
      <c r="E23" t="s">
        <v>90</v>
      </c>
      <c r="F23" t="s">
        <v>91</v>
      </c>
      <c r="G23" t="s">
        <v>92</v>
      </c>
    </row>
    <row r="24" spans="1:7" x14ac:dyDescent="0.55000000000000004">
      <c r="A24" t="s">
        <v>94</v>
      </c>
      <c r="B24" t="s">
        <v>96</v>
      </c>
      <c r="C24" s="14">
        <v>17000000000000</v>
      </c>
      <c r="D24">
        <v>2040</v>
      </c>
      <c r="E24" t="s">
        <v>90</v>
      </c>
      <c r="F24" t="s">
        <v>91</v>
      </c>
      <c r="G24" t="s">
        <v>92</v>
      </c>
    </row>
    <row r="25" spans="1:7" x14ac:dyDescent="0.55000000000000004">
      <c r="A25" t="s">
        <v>94</v>
      </c>
      <c r="B25" t="s">
        <v>97</v>
      </c>
      <c r="C25" s="14">
        <v>5000000000000</v>
      </c>
      <c r="D25">
        <v>2040</v>
      </c>
      <c r="E25" t="s">
        <v>90</v>
      </c>
      <c r="F25" t="s">
        <v>91</v>
      </c>
      <c r="G25" t="s">
        <v>92</v>
      </c>
    </row>
    <row r="26" spans="1:7" x14ac:dyDescent="0.55000000000000004">
      <c r="A26" t="s">
        <v>94</v>
      </c>
      <c r="B26" t="s">
        <v>98</v>
      </c>
      <c r="C26" s="14">
        <v>5136000000000000</v>
      </c>
      <c r="D26">
        <v>2040</v>
      </c>
      <c r="E26" t="s">
        <v>90</v>
      </c>
      <c r="F26" t="s">
        <v>91</v>
      </c>
      <c r="G26" t="s">
        <v>92</v>
      </c>
    </row>
    <row r="27" spans="1:7" x14ac:dyDescent="0.55000000000000004">
      <c r="A27" t="s">
        <v>108</v>
      </c>
      <c r="B27" t="s">
        <v>108</v>
      </c>
      <c r="C27" s="14">
        <v>4.26E+16</v>
      </c>
      <c r="D27">
        <v>2040</v>
      </c>
      <c r="E27" t="s">
        <v>90</v>
      </c>
      <c r="F27" t="s">
        <v>91</v>
      </c>
      <c r="G27" t="s">
        <v>92</v>
      </c>
    </row>
    <row r="28" spans="1:7" x14ac:dyDescent="0.55000000000000004">
      <c r="A28" t="s">
        <v>99</v>
      </c>
      <c r="B28" t="s">
        <v>100</v>
      </c>
      <c r="C28" s="14">
        <v>7756000000000000</v>
      </c>
      <c r="D28">
        <v>2040</v>
      </c>
      <c r="E28" t="s">
        <v>90</v>
      </c>
      <c r="F28" t="s">
        <v>91</v>
      </c>
      <c r="G28" t="s">
        <v>92</v>
      </c>
    </row>
    <row r="29" spans="1:7" x14ac:dyDescent="0.55000000000000004">
      <c r="A29" t="s">
        <v>106</v>
      </c>
      <c r="B29" t="s">
        <v>107</v>
      </c>
      <c r="C29" s="14">
        <v>2.04E+16</v>
      </c>
      <c r="D29">
        <v>2040</v>
      </c>
      <c r="E29" t="s">
        <v>90</v>
      </c>
      <c r="F29" t="s">
        <v>91</v>
      </c>
      <c r="G29" t="s">
        <v>92</v>
      </c>
    </row>
    <row r="30" spans="1:7" x14ac:dyDescent="0.55000000000000004">
      <c r="A30" t="s">
        <v>101</v>
      </c>
      <c r="B30" t="s">
        <v>102</v>
      </c>
      <c r="C30" s="14">
        <v>4679000000000000</v>
      </c>
      <c r="D30">
        <v>2040</v>
      </c>
      <c r="E30" t="s">
        <v>90</v>
      </c>
      <c r="F30" t="s">
        <v>91</v>
      </c>
      <c r="G30" t="s">
        <v>92</v>
      </c>
    </row>
    <row r="31" spans="1:7" x14ac:dyDescent="0.55000000000000004">
      <c r="A31" t="s">
        <v>101</v>
      </c>
      <c r="B31" t="s">
        <v>103</v>
      </c>
      <c r="C31" s="14">
        <v>3757000000000000</v>
      </c>
      <c r="D31">
        <v>2040</v>
      </c>
      <c r="E31" t="s">
        <v>90</v>
      </c>
      <c r="F31" t="s">
        <v>91</v>
      </c>
      <c r="G31" t="s">
        <v>92</v>
      </c>
    </row>
    <row r="32" spans="1:7" x14ac:dyDescent="0.55000000000000004">
      <c r="A32" t="s">
        <v>104</v>
      </c>
      <c r="B32" t="s">
        <v>105</v>
      </c>
      <c r="C32" s="14">
        <v>1.71E+17</v>
      </c>
      <c r="D32">
        <v>2040</v>
      </c>
      <c r="E32" t="s">
        <v>90</v>
      </c>
      <c r="F32" t="s">
        <v>91</v>
      </c>
      <c r="G32" t="s">
        <v>92</v>
      </c>
    </row>
    <row r="33" spans="1:7" x14ac:dyDescent="0.55000000000000004">
      <c r="A33" t="s">
        <v>88</v>
      </c>
      <c r="B33" t="s">
        <v>89</v>
      </c>
      <c r="C33" s="14">
        <v>130000000000000</v>
      </c>
      <c r="D33">
        <v>2050</v>
      </c>
      <c r="E33" t="s">
        <v>90</v>
      </c>
      <c r="F33" t="s">
        <v>91</v>
      </c>
      <c r="G33" t="s">
        <v>92</v>
      </c>
    </row>
    <row r="34" spans="1:7" x14ac:dyDescent="0.55000000000000004">
      <c r="A34" t="s">
        <v>88</v>
      </c>
      <c r="B34" t="s">
        <v>93</v>
      </c>
      <c r="C34" s="14">
        <v>2645000000000000</v>
      </c>
      <c r="D34">
        <v>2050</v>
      </c>
      <c r="E34" t="s">
        <v>90</v>
      </c>
      <c r="F34" t="s">
        <v>91</v>
      </c>
      <c r="G34" t="s">
        <v>92</v>
      </c>
    </row>
    <row r="35" spans="1:7" x14ac:dyDescent="0.55000000000000004">
      <c r="A35" t="s">
        <v>94</v>
      </c>
      <c r="B35" t="s">
        <v>98</v>
      </c>
      <c r="C35" s="14">
        <v>5012000000000000</v>
      </c>
      <c r="D35">
        <v>2050</v>
      </c>
      <c r="E35" t="s">
        <v>90</v>
      </c>
      <c r="F35" t="s">
        <v>91</v>
      </c>
      <c r="G35" t="s">
        <v>92</v>
      </c>
    </row>
    <row r="36" spans="1:7" x14ac:dyDescent="0.55000000000000004">
      <c r="A36" t="s">
        <v>108</v>
      </c>
      <c r="B36" t="s">
        <v>108</v>
      </c>
      <c r="C36" s="14">
        <v>4.26E+16</v>
      </c>
      <c r="D36">
        <v>2050</v>
      </c>
      <c r="E36" t="s">
        <v>90</v>
      </c>
      <c r="F36" t="s">
        <v>91</v>
      </c>
      <c r="G36" t="s">
        <v>92</v>
      </c>
    </row>
    <row r="37" spans="1:7" x14ac:dyDescent="0.55000000000000004">
      <c r="A37" t="s">
        <v>99</v>
      </c>
      <c r="B37" t="s">
        <v>100</v>
      </c>
      <c r="C37" s="14">
        <v>7745000000000000</v>
      </c>
      <c r="D37">
        <v>2050</v>
      </c>
      <c r="E37" t="s">
        <v>90</v>
      </c>
      <c r="F37" t="s">
        <v>91</v>
      </c>
      <c r="G37" t="s">
        <v>92</v>
      </c>
    </row>
    <row r="38" spans="1:7" x14ac:dyDescent="0.55000000000000004">
      <c r="A38" t="s">
        <v>109</v>
      </c>
      <c r="B38" t="s">
        <v>110</v>
      </c>
      <c r="C38" s="14">
        <v>1.55E+16</v>
      </c>
      <c r="D38">
        <v>2050</v>
      </c>
      <c r="E38" t="s">
        <v>90</v>
      </c>
      <c r="F38" t="s">
        <v>91</v>
      </c>
      <c r="G38" t="s">
        <v>92</v>
      </c>
    </row>
    <row r="39" spans="1:7" x14ac:dyDescent="0.55000000000000004">
      <c r="A39" t="s">
        <v>106</v>
      </c>
      <c r="B39" t="s">
        <v>107</v>
      </c>
      <c r="C39" s="14">
        <v>1.53E+16</v>
      </c>
      <c r="D39">
        <v>2050</v>
      </c>
      <c r="E39" t="s">
        <v>90</v>
      </c>
      <c r="F39" t="s">
        <v>91</v>
      </c>
      <c r="G39" t="s">
        <v>92</v>
      </c>
    </row>
    <row r="40" spans="1:7" x14ac:dyDescent="0.55000000000000004">
      <c r="A40" t="s">
        <v>101</v>
      </c>
      <c r="B40" t="s">
        <v>102</v>
      </c>
      <c r="C40" s="14">
        <v>4679000000000000</v>
      </c>
      <c r="D40">
        <v>2050</v>
      </c>
      <c r="E40" t="s">
        <v>90</v>
      </c>
      <c r="F40" t="s">
        <v>91</v>
      </c>
      <c r="G40" t="s">
        <v>92</v>
      </c>
    </row>
    <row r="41" spans="1:7" x14ac:dyDescent="0.55000000000000004">
      <c r="A41" t="s">
        <v>101</v>
      </c>
      <c r="B41" t="s">
        <v>103</v>
      </c>
      <c r="C41" s="14">
        <v>5804000000000000</v>
      </c>
      <c r="D41">
        <v>2050</v>
      </c>
      <c r="E41" t="s">
        <v>90</v>
      </c>
      <c r="F41" t="s">
        <v>91</v>
      </c>
      <c r="G41" t="s">
        <v>92</v>
      </c>
    </row>
    <row r="42" spans="1:7" x14ac:dyDescent="0.55000000000000004">
      <c r="A42" t="s">
        <v>104</v>
      </c>
      <c r="B42" t="s">
        <v>105</v>
      </c>
      <c r="C42" s="14">
        <v>1.88E+17</v>
      </c>
      <c r="D42">
        <v>2050</v>
      </c>
      <c r="E42" t="s">
        <v>90</v>
      </c>
      <c r="F42" t="s">
        <v>91</v>
      </c>
      <c r="G42" t="s">
        <v>92</v>
      </c>
    </row>
    <row r="43" spans="1:7" x14ac:dyDescent="0.55000000000000004">
      <c r="A43" t="s">
        <v>88</v>
      </c>
      <c r="B43" t="s">
        <v>89</v>
      </c>
      <c r="C43" s="14">
        <v>132000000000000</v>
      </c>
      <c r="D43">
        <v>2060</v>
      </c>
      <c r="E43" t="s">
        <v>90</v>
      </c>
      <c r="F43" t="s">
        <v>91</v>
      </c>
      <c r="G43" t="s">
        <v>92</v>
      </c>
    </row>
    <row r="44" spans="1:7" x14ac:dyDescent="0.55000000000000004">
      <c r="A44" t="s">
        <v>94</v>
      </c>
      <c r="B44" t="s">
        <v>98</v>
      </c>
      <c r="C44" s="14">
        <v>5012000000000000</v>
      </c>
      <c r="D44">
        <v>2060</v>
      </c>
      <c r="E44" t="s">
        <v>90</v>
      </c>
      <c r="F44" t="s">
        <v>91</v>
      </c>
      <c r="G44" t="s">
        <v>92</v>
      </c>
    </row>
    <row r="45" spans="1:7" x14ac:dyDescent="0.55000000000000004">
      <c r="A45" t="s">
        <v>108</v>
      </c>
      <c r="B45" t="s">
        <v>108</v>
      </c>
      <c r="C45" s="14">
        <v>4.26E+16</v>
      </c>
      <c r="D45">
        <v>2060</v>
      </c>
      <c r="E45" t="s">
        <v>90</v>
      </c>
      <c r="F45" t="s">
        <v>91</v>
      </c>
      <c r="G45" t="s">
        <v>92</v>
      </c>
    </row>
    <row r="46" spans="1:7" x14ac:dyDescent="0.55000000000000004">
      <c r="A46" t="s">
        <v>99</v>
      </c>
      <c r="B46" t="s">
        <v>100</v>
      </c>
      <c r="C46" s="14">
        <v>7745000000000000</v>
      </c>
      <c r="D46">
        <v>2060</v>
      </c>
      <c r="E46" t="s">
        <v>90</v>
      </c>
      <c r="F46" t="s">
        <v>91</v>
      </c>
      <c r="G46" t="s">
        <v>92</v>
      </c>
    </row>
    <row r="47" spans="1:7" x14ac:dyDescent="0.55000000000000004">
      <c r="A47" t="s">
        <v>109</v>
      </c>
      <c r="B47" t="s">
        <v>110</v>
      </c>
      <c r="C47" s="14">
        <v>1.97E+17</v>
      </c>
      <c r="D47">
        <v>2060</v>
      </c>
      <c r="E47" t="s">
        <v>90</v>
      </c>
      <c r="F47" t="s">
        <v>91</v>
      </c>
      <c r="G47" t="s">
        <v>92</v>
      </c>
    </row>
    <row r="48" spans="1:7" x14ac:dyDescent="0.55000000000000004">
      <c r="A48" t="s">
        <v>106</v>
      </c>
      <c r="B48" t="s">
        <v>107</v>
      </c>
      <c r="C48" s="14">
        <v>4088000000000000</v>
      </c>
      <c r="D48">
        <v>2060</v>
      </c>
      <c r="E48" t="s">
        <v>90</v>
      </c>
      <c r="F48" t="s">
        <v>91</v>
      </c>
      <c r="G48" t="s">
        <v>92</v>
      </c>
    </row>
    <row r="49" spans="1:7" x14ac:dyDescent="0.55000000000000004">
      <c r="A49" t="s">
        <v>101</v>
      </c>
      <c r="B49" t="s">
        <v>103</v>
      </c>
      <c r="C49" s="14">
        <v>7914000000000000</v>
      </c>
      <c r="D49">
        <v>2060</v>
      </c>
      <c r="E49" t="s">
        <v>90</v>
      </c>
      <c r="F49" t="s">
        <v>91</v>
      </c>
      <c r="G49" t="s">
        <v>92</v>
      </c>
    </row>
    <row r="50" spans="1:7" x14ac:dyDescent="0.55000000000000004">
      <c r="A50" t="s">
        <v>104</v>
      </c>
      <c r="B50" t="s">
        <v>105</v>
      </c>
      <c r="C50" s="14">
        <v>1.21E+17</v>
      </c>
      <c r="D50">
        <v>2060</v>
      </c>
      <c r="E50" t="s">
        <v>90</v>
      </c>
      <c r="F50" t="s">
        <v>91</v>
      </c>
      <c r="G50" t="s">
        <v>92</v>
      </c>
    </row>
    <row r="51" spans="1:7" x14ac:dyDescent="0.55000000000000004">
      <c r="A51" t="s">
        <v>88</v>
      </c>
      <c r="B51" t="s">
        <v>89</v>
      </c>
      <c r="C51" s="14">
        <v>73000000000000</v>
      </c>
      <c r="D51">
        <v>2020</v>
      </c>
      <c r="E51" t="s">
        <v>111</v>
      </c>
      <c r="F51" t="s">
        <v>91</v>
      </c>
      <c r="G51" t="s">
        <v>92</v>
      </c>
    </row>
    <row r="52" spans="1:7" x14ac:dyDescent="0.55000000000000004">
      <c r="A52" t="s">
        <v>88</v>
      </c>
      <c r="B52" t="s">
        <v>93</v>
      </c>
      <c r="C52" s="14">
        <v>6342000000000000</v>
      </c>
      <c r="D52">
        <v>2020</v>
      </c>
      <c r="E52" t="s">
        <v>111</v>
      </c>
      <c r="F52" t="s">
        <v>91</v>
      </c>
      <c r="G52" t="s">
        <v>92</v>
      </c>
    </row>
    <row r="53" spans="1:7" x14ac:dyDescent="0.55000000000000004">
      <c r="A53" t="s">
        <v>94</v>
      </c>
      <c r="B53" t="s">
        <v>95</v>
      </c>
      <c r="C53" s="14">
        <v>7.82E+16</v>
      </c>
      <c r="D53">
        <v>2020</v>
      </c>
      <c r="E53" t="s">
        <v>111</v>
      </c>
      <c r="F53" t="s">
        <v>91</v>
      </c>
      <c r="G53" t="s">
        <v>92</v>
      </c>
    </row>
    <row r="54" spans="1:7" x14ac:dyDescent="0.55000000000000004">
      <c r="A54" t="s">
        <v>94</v>
      </c>
      <c r="B54" t="s">
        <v>96</v>
      </c>
      <c r="C54" s="14">
        <v>68000000000000</v>
      </c>
      <c r="D54">
        <v>2020</v>
      </c>
      <c r="E54" t="s">
        <v>111</v>
      </c>
      <c r="F54" t="s">
        <v>91</v>
      </c>
      <c r="G54" t="s">
        <v>92</v>
      </c>
    </row>
    <row r="55" spans="1:7" x14ac:dyDescent="0.55000000000000004">
      <c r="A55" t="s">
        <v>94</v>
      </c>
      <c r="B55" t="s">
        <v>97</v>
      </c>
      <c r="C55" s="14">
        <v>23000000000000</v>
      </c>
      <c r="D55">
        <v>2020</v>
      </c>
      <c r="E55" t="s">
        <v>111</v>
      </c>
      <c r="F55" t="s">
        <v>91</v>
      </c>
      <c r="G55" t="s">
        <v>92</v>
      </c>
    </row>
    <row r="56" spans="1:7" x14ac:dyDescent="0.55000000000000004">
      <c r="A56" t="s">
        <v>94</v>
      </c>
      <c r="B56" t="s">
        <v>98</v>
      </c>
      <c r="C56" s="14">
        <v>1.37E+17</v>
      </c>
      <c r="D56">
        <v>2020</v>
      </c>
      <c r="E56" t="s">
        <v>111</v>
      </c>
      <c r="F56" t="s">
        <v>91</v>
      </c>
      <c r="G56" t="s">
        <v>92</v>
      </c>
    </row>
    <row r="57" spans="1:7" x14ac:dyDescent="0.55000000000000004">
      <c r="A57" t="s">
        <v>99</v>
      </c>
      <c r="B57" t="s">
        <v>100</v>
      </c>
      <c r="C57" s="14">
        <v>7745000000000000</v>
      </c>
      <c r="D57">
        <v>2020</v>
      </c>
      <c r="E57" t="s">
        <v>111</v>
      </c>
      <c r="F57" t="s">
        <v>91</v>
      </c>
      <c r="G57" t="s">
        <v>92</v>
      </c>
    </row>
    <row r="58" spans="1:7" x14ac:dyDescent="0.55000000000000004">
      <c r="A58" t="s">
        <v>101</v>
      </c>
      <c r="B58" t="s">
        <v>102</v>
      </c>
      <c r="C58" s="14">
        <v>94000000000000</v>
      </c>
      <c r="D58">
        <v>2020</v>
      </c>
      <c r="E58" t="s">
        <v>111</v>
      </c>
      <c r="F58" t="s">
        <v>91</v>
      </c>
      <c r="G58" t="s">
        <v>92</v>
      </c>
    </row>
    <row r="59" spans="1:7" x14ac:dyDescent="0.55000000000000004">
      <c r="A59" t="s">
        <v>101</v>
      </c>
      <c r="B59" t="s">
        <v>103</v>
      </c>
      <c r="C59" s="14">
        <v>268000000000000</v>
      </c>
      <c r="D59">
        <v>2020</v>
      </c>
      <c r="E59" t="s">
        <v>111</v>
      </c>
      <c r="F59" t="s">
        <v>91</v>
      </c>
      <c r="G59" t="s">
        <v>92</v>
      </c>
    </row>
    <row r="60" spans="1:7" x14ac:dyDescent="0.55000000000000004">
      <c r="A60" t="s">
        <v>104</v>
      </c>
      <c r="B60" t="s">
        <v>105</v>
      </c>
      <c r="C60" s="14">
        <v>1.47E+16</v>
      </c>
      <c r="D60">
        <v>2020</v>
      </c>
      <c r="E60" t="s">
        <v>111</v>
      </c>
      <c r="F60" t="s">
        <v>91</v>
      </c>
      <c r="G60" t="s">
        <v>92</v>
      </c>
    </row>
    <row r="61" spans="1:7" x14ac:dyDescent="0.55000000000000004">
      <c r="A61" t="s">
        <v>88</v>
      </c>
      <c r="B61" t="s">
        <v>89</v>
      </c>
      <c r="C61" s="14">
        <v>31000000000000</v>
      </c>
      <c r="D61">
        <v>2030</v>
      </c>
      <c r="E61" t="s">
        <v>111</v>
      </c>
      <c r="F61" t="s">
        <v>91</v>
      </c>
      <c r="G61" t="s">
        <v>92</v>
      </c>
    </row>
    <row r="62" spans="1:7" x14ac:dyDescent="0.55000000000000004">
      <c r="A62" t="s">
        <v>88</v>
      </c>
      <c r="B62" t="s">
        <v>93</v>
      </c>
      <c r="C62" s="14">
        <v>4374000000000000</v>
      </c>
      <c r="D62">
        <v>2030</v>
      </c>
      <c r="E62" t="s">
        <v>111</v>
      </c>
      <c r="F62" t="s">
        <v>91</v>
      </c>
      <c r="G62" t="s">
        <v>92</v>
      </c>
    </row>
    <row r="63" spans="1:7" x14ac:dyDescent="0.55000000000000004">
      <c r="A63" t="s">
        <v>94</v>
      </c>
      <c r="B63" t="s">
        <v>96</v>
      </c>
      <c r="C63" s="14">
        <v>45000000000000</v>
      </c>
      <c r="D63">
        <v>2030</v>
      </c>
      <c r="E63" t="s">
        <v>111</v>
      </c>
      <c r="F63" t="s">
        <v>91</v>
      </c>
      <c r="G63" t="s">
        <v>92</v>
      </c>
    </row>
    <row r="64" spans="1:7" x14ac:dyDescent="0.55000000000000004">
      <c r="A64" t="s">
        <v>94</v>
      </c>
      <c r="B64" t="s">
        <v>97</v>
      </c>
      <c r="C64" s="14">
        <v>12000000000000</v>
      </c>
      <c r="D64">
        <v>2030</v>
      </c>
      <c r="E64" t="s">
        <v>111</v>
      </c>
      <c r="F64" t="s">
        <v>91</v>
      </c>
      <c r="G64" t="s">
        <v>92</v>
      </c>
    </row>
    <row r="65" spans="1:7" x14ac:dyDescent="0.55000000000000004">
      <c r="A65" t="s">
        <v>94</v>
      </c>
      <c r="B65" t="s">
        <v>98</v>
      </c>
      <c r="C65" s="14">
        <v>4.77E+16</v>
      </c>
      <c r="D65">
        <v>2030</v>
      </c>
      <c r="E65" t="s">
        <v>111</v>
      </c>
      <c r="F65" t="s">
        <v>91</v>
      </c>
      <c r="G65" t="s">
        <v>92</v>
      </c>
    </row>
    <row r="66" spans="1:7" x14ac:dyDescent="0.55000000000000004">
      <c r="A66" t="s">
        <v>108</v>
      </c>
      <c r="B66" t="s">
        <v>108</v>
      </c>
      <c r="C66" s="14">
        <v>1.25E+16</v>
      </c>
      <c r="D66">
        <v>2030</v>
      </c>
      <c r="E66" t="s">
        <v>111</v>
      </c>
      <c r="F66" t="s">
        <v>91</v>
      </c>
      <c r="G66" t="s">
        <v>92</v>
      </c>
    </row>
    <row r="67" spans="1:7" x14ac:dyDescent="0.55000000000000004">
      <c r="A67" t="s">
        <v>99</v>
      </c>
      <c r="B67" t="s">
        <v>100</v>
      </c>
      <c r="C67" s="14">
        <v>7767000000000000</v>
      </c>
      <c r="D67">
        <v>2030</v>
      </c>
      <c r="E67" t="s">
        <v>111</v>
      </c>
      <c r="F67" t="s">
        <v>91</v>
      </c>
      <c r="G67" t="s">
        <v>92</v>
      </c>
    </row>
    <row r="68" spans="1:7" x14ac:dyDescent="0.55000000000000004">
      <c r="A68" t="s">
        <v>101</v>
      </c>
      <c r="B68" t="s">
        <v>102</v>
      </c>
      <c r="C68" s="14">
        <v>5.21E+16</v>
      </c>
      <c r="D68">
        <v>2030</v>
      </c>
      <c r="E68" t="s">
        <v>111</v>
      </c>
      <c r="F68" t="s">
        <v>91</v>
      </c>
      <c r="G68" t="s">
        <v>92</v>
      </c>
    </row>
    <row r="69" spans="1:7" x14ac:dyDescent="0.55000000000000004">
      <c r="A69" t="s">
        <v>101</v>
      </c>
      <c r="B69" t="s">
        <v>103</v>
      </c>
      <c r="C69" s="14">
        <v>1726000000000000</v>
      </c>
      <c r="D69">
        <v>2030</v>
      </c>
      <c r="E69" t="s">
        <v>111</v>
      </c>
      <c r="F69" t="s">
        <v>91</v>
      </c>
      <c r="G69" t="s">
        <v>92</v>
      </c>
    </row>
    <row r="70" spans="1:7" x14ac:dyDescent="0.55000000000000004">
      <c r="A70" t="s">
        <v>104</v>
      </c>
      <c r="B70" t="s">
        <v>105</v>
      </c>
      <c r="C70" s="14">
        <v>1.57E+17</v>
      </c>
      <c r="D70">
        <v>2030</v>
      </c>
      <c r="E70" t="s">
        <v>111</v>
      </c>
      <c r="F70" t="s">
        <v>91</v>
      </c>
      <c r="G70" t="s">
        <v>92</v>
      </c>
    </row>
    <row r="71" spans="1:7" x14ac:dyDescent="0.55000000000000004">
      <c r="A71" t="s">
        <v>88</v>
      </c>
      <c r="B71" t="s">
        <v>89</v>
      </c>
      <c r="C71" s="14">
        <v>15000000000000</v>
      </c>
      <c r="D71">
        <v>2040</v>
      </c>
      <c r="E71" t="s">
        <v>111</v>
      </c>
      <c r="F71" t="s">
        <v>91</v>
      </c>
      <c r="G71" t="s">
        <v>92</v>
      </c>
    </row>
    <row r="72" spans="1:7" x14ac:dyDescent="0.55000000000000004">
      <c r="A72" t="s">
        <v>88</v>
      </c>
      <c r="B72" t="s">
        <v>93</v>
      </c>
      <c r="C72" s="14">
        <v>8875000000000000</v>
      </c>
      <c r="D72">
        <v>2040</v>
      </c>
      <c r="E72" t="s">
        <v>111</v>
      </c>
      <c r="F72" t="s">
        <v>91</v>
      </c>
      <c r="G72" t="s">
        <v>92</v>
      </c>
    </row>
    <row r="73" spans="1:7" x14ac:dyDescent="0.55000000000000004">
      <c r="A73" t="s">
        <v>94</v>
      </c>
      <c r="B73" t="s">
        <v>96</v>
      </c>
      <c r="C73" s="14">
        <v>17000000000000</v>
      </c>
      <c r="D73">
        <v>2040</v>
      </c>
      <c r="E73" t="s">
        <v>111</v>
      </c>
      <c r="F73" t="s">
        <v>91</v>
      </c>
      <c r="G73" t="s">
        <v>92</v>
      </c>
    </row>
    <row r="74" spans="1:7" x14ac:dyDescent="0.55000000000000004">
      <c r="A74" t="s">
        <v>94</v>
      </c>
      <c r="B74" t="s">
        <v>97</v>
      </c>
      <c r="C74" s="14">
        <v>5000000000000</v>
      </c>
      <c r="D74">
        <v>2040</v>
      </c>
      <c r="E74" t="s">
        <v>111</v>
      </c>
      <c r="F74" t="s">
        <v>91</v>
      </c>
      <c r="G74" t="s">
        <v>92</v>
      </c>
    </row>
    <row r="75" spans="1:7" x14ac:dyDescent="0.55000000000000004">
      <c r="A75" t="s">
        <v>108</v>
      </c>
      <c r="B75" t="s">
        <v>108</v>
      </c>
      <c r="C75" s="14">
        <v>2.45E+16</v>
      </c>
      <c r="D75">
        <v>2040</v>
      </c>
      <c r="E75" t="s">
        <v>111</v>
      </c>
      <c r="F75" t="s">
        <v>91</v>
      </c>
      <c r="G75" t="s">
        <v>92</v>
      </c>
    </row>
    <row r="76" spans="1:7" x14ac:dyDescent="0.55000000000000004">
      <c r="A76" t="s">
        <v>99</v>
      </c>
      <c r="B76" t="s">
        <v>100</v>
      </c>
      <c r="C76" s="14">
        <v>7756000000000000</v>
      </c>
      <c r="D76">
        <v>2040</v>
      </c>
      <c r="E76" t="s">
        <v>111</v>
      </c>
      <c r="F76" t="s">
        <v>91</v>
      </c>
      <c r="G76" t="s">
        <v>92</v>
      </c>
    </row>
    <row r="77" spans="1:7" x14ac:dyDescent="0.55000000000000004">
      <c r="A77" t="s">
        <v>101</v>
      </c>
      <c r="B77" t="s">
        <v>102</v>
      </c>
      <c r="C77" s="14">
        <v>5.65E+16</v>
      </c>
      <c r="D77">
        <v>2040</v>
      </c>
      <c r="E77" t="s">
        <v>111</v>
      </c>
      <c r="F77" t="s">
        <v>91</v>
      </c>
      <c r="G77" t="s">
        <v>92</v>
      </c>
    </row>
    <row r="78" spans="1:7" x14ac:dyDescent="0.55000000000000004">
      <c r="A78" t="s">
        <v>101</v>
      </c>
      <c r="B78" t="s">
        <v>103</v>
      </c>
      <c r="C78" s="14">
        <v>3757000000000000</v>
      </c>
      <c r="D78">
        <v>2040</v>
      </c>
      <c r="E78" t="s">
        <v>111</v>
      </c>
      <c r="F78" t="s">
        <v>91</v>
      </c>
      <c r="G78" t="s">
        <v>92</v>
      </c>
    </row>
    <row r="79" spans="1:7" x14ac:dyDescent="0.55000000000000004">
      <c r="A79" t="s">
        <v>104</v>
      </c>
      <c r="B79" t="s">
        <v>105</v>
      </c>
      <c r="C79" s="14">
        <v>4.32E+17</v>
      </c>
      <c r="D79">
        <v>2040</v>
      </c>
      <c r="E79" t="s">
        <v>111</v>
      </c>
      <c r="F79" t="s">
        <v>91</v>
      </c>
      <c r="G79" t="s">
        <v>92</v>
      </c>
    </row>
    <row r="80" spans="1:7" x14ac:dyDescent="0.55000000000000004">
      <c r="A80" t="s">
        <v>88</v>
      </c>
      <c r="B80" t="s">
        <v>93</v>
      </c>
      <c r="C80" s="14">
        <v>3.45E+16</v>
      </c>
      <c r="D80">
        <v>2050</v>
      </c>
      <c r="E80" t="s">
        <v>111</v>
      </c>
      <c r="F80" t="s">
        <v>91</v>
      </c>
      <c r="G80" t="s">
        <v>92</v>
      </c>
    </row>
    <row r="81" spans="1:7" x14ac:dyDescent="0.55000000000000004">
      <c r="A81" t="s">
        <v>108</v>
      </c>
      <c r="B81" t="s">
        <v>108</v>
      </c>
      <c r="C81" s="14">
        <v>4.26E+16</v>
      </c>
      <c r="D81">
        <v>2050</v>
      </c>
      <c r="E81" t="s">
        <v>111</v>
      </c>
      <c r="F81" t="s">
        <v>91</v>
      </c>
      <c r="G81" t="s">
        <v>92</v>
      </c>
    </row>
    <row r="82" spans="1:7" x14ac:dyDescent="0.55000000000000004">
      <c r="A82" t="s">
        <v>99</v>
      </c>
      <c r="B82" t="s">
        <v>100</v>
      </c>
      <c r="C82" s="14">
        <v>7745000000000000</v>
      </c>
      <c r="D82">
        <v>2050</v>
      </c>
      <c r="E82" t="s">
        <v>111</v>
      </c>
      <c r="F82" t="s">
        <v>91</v>
      </c>
      <c r="G82" t="s">
        <v>92</v>
      </c>
    </row>
    <row r="83" spans="1:7" x14ac:dyDescent="0.55000000000000004">
      <c r="A83" t="s">
        <v>109</v>
      </c>
      <c r="B83" t="s">
        <v>110</v>
      </c>
      <c r="C83" s="14">
        <v>1.6E+17</v>
      </c>
      <c r="D83">
        <v>2050</v>
      </c>
      <c r="E83" t="s">
        <v>111</v>
      </c>
      <c r="F83" t="s">
        <v>91</v>
      </c>
      <c r="G83" t="s">
        <v>92</v>
      </c>
    </row>
    <row r="84" spans="1:7" x14ac:dyDescent="0.55000000000000004">
      <c r="A84" t="s">
        <v>106</v>
      </c>
      <c r="B84" t="s">
        <v>112</v>
      </c>
      <c r="D84">
        <v>2050</v>
      </c>
      <c r="E84" t="s">
        <v>111</v>
      </c>
      <c r="F84" t="s">
        <v>91</v>
      </c>
      <c r="G84" t="s">
        <v>92</v>
      </c>
    </row>
    <row r="85" spans="1:7" x14ac:dyDescent="0.55000000000000004">
      <c r="A85" t="s">
        <v>101</v>
      </c>
      <c r="B85" t="s">
        <v>102</v>
      </c>
      <c r="C85" s="14">
        <v>9.2E+16</v>
      </c>
      <c r="D85">
        <v>2050</v>
      </c>
      <c r="E85" t="s">
        <v>111</v>
      </c>
      <c r="F85" t="s">
        <v>91</v>
      </c>
      <c r="G85" t="s">
        <v>92</v>
      </c>
    </row>
    <row r="86" spans="1:7" x14ac:dyDescent="0.55000000000000004">
      <c r="A86" t="s">
        <v>101</v>
      </c>
      <c r="B86" t="s">
        <v>103</v>
      </c>
      <c r="C86" s="14">
        <v>5804000000000000</v>
      </c>
      <c r="D86">
        <v>2050</v>
      </c>
      <c r="E86" t="s">
        <v>111</v>
      </c>
      <c r="F86" t="s">
        <v>91</v>
      </c>
      <c r="G86" t="s">
        <v>92</v>
      </c>
    </row>
    <row r="87" spans="1:7" x14ac:dyDescent="0.55000000000000004">
      <c r="A87" t="s">
        <v>104</v>
      </c>
      <c r="B87" t="s">
        <v>105</v>
      </c>
      <c r="C87" s="14">
        <v>5.21E+17</v>
      </c>
      <c r="D87">
        <v>2050</v>
      </c>
      <c r="E87" t="s">
        <v>111</v>
      </c>
      <c r="F87" t="s">
        <v>91</v>
      </c>
      <c r="G87" t="s">
        <v>92</v>
      </c>
    </row>
    <row r="88" spans="1:7" x14ac:dyDescent="0.55000000000000004">
      <c r="A88" t="s">
        <v>88</v>
      </c>
      <c r="B88" t="s">
        <v>93</v>
      </c>
      <c r="C88" s="14">
        <v>3.45E+16</v>
      </c>
      <c r="D88">
        <v>2060</v>
      </c>
      <c r="E88" t="s">
        <v>111</v>
      </c>
      <c r="F88" t="s">
        <v>91</v>
      </c>
      <c r="G88" t="s">
        <v>92</v>
      </c>
    </row>
    <row r="89" spans="1:7" x14ac:dyDescent="0.55000000000000004">
      <c r="A89" t="s">
        <v>108</v>
      </c>
      <c r="B89" t="s">
        <v>108</v>
      </c>
      <c r="C89" s="14">
        <v>3E+16</v>
      </c>
      <c r="D89">
        <v>2060</v>
      </c>
      <c r="E89" t="s">
        <v>111</v>
      </c>
      <c r="F89" t="s">
        <v>91</v>
      </c>
      <c r="G89" t="s">
        <v>92</v>
      </c>
    </row>
    <row r="90" spans="1:7" x14ac:dyDescent="0.55000000000000004">
      <c r="A90" t="s">
        <v>99</v>
      </c>
      <c r="B90" t="s">
        <v>100</v>
      </c>
      <c r="C90" s="14">
        <v>7745000000000000</v>
      </c>
      <c r="D90">
        <v>2060</v>
      </c>
      <c r="E90" t="s">
        <v>111</v>
      </c>
      <c r="F90" t="s">
        <v>91</v>
      </c>
      <c r="G90" t="s">
        <v>92</v>
      </c>
    </row>
    <row r="91" spans="1:7" x14ac:dyDescent="0.55000000000000004">
      <c r="A91" t="s">
        <v>109</v>
      </c>
      <c r="B91" t="s">
        <v>110</v>
      </c>
      <c r="C91" s="14">
        <v>5.68E+17</v>
      </c>
      <c r="D91">
        <v>2060</v>
      </c>
      <c r="E91" t="s">
        <v>111</v>
      </c>
      <c r="F91" t="s">
        <v>91</v>
      </c>
      <c r="G91" t="s">
        <v>92</v>
      </c>
    </row>
    <row r="92" spans="1:7" x14ac:dyDescent="0.55000000000000004">
      <c r="A92" t="s">
        <v>101</v>
      </c>
      <c r="B92" t="s">
        <v>102</v>
      </c>
      <c r="C92" s="14">
        <v>3.99E+16</v>
      </c>
      <c r="D92">
        <v>2060</v>
      </c>
      <c r="E92" t="s">
        <v>111</v>
      </c>
      <c r="F92" t="s">
        <v>91</v>
      </c>
      <c r="G92" t="s">
        <v>92</v>
      </c>
    </row>
    <row r="93" spans="1:7" x14ac:dyDescent="0.55000000000000004">
      <c r="A93" t="s">
        <v>101</v>
      </c>
      <c r="B93" t="s">
        <v>103</v>
      </c>
      <c r="C93" s="14">
        <v>7914000000000000</v>
      </c>
      <c r="D93">
        <v>2060</v>
      </c>
      <c r="E93" t="s">
        <v>111</v>
      </c>
      <c r="F93" t="s">
        <v>91</v>
      </c>
      <c r="G93" t="s">
        <v>92</v>
      </c>
    </row>
    <row r="94" spans="1:7" x14ac:dyDescent="0.55000000000000004">
      <c r="A94" t="s">
        <v>104</v>
      </c>
      <c r="B94" t="s">
        <v>105</v>
      </c>
      <c r="C94" s="14">
        <v>3.63E+17</v>
      </c>
      <c r="D94">
        <v>2060</v>
      </c>
      <c r="E94" t="s">
        <v>111</v>
      </c>
      <c r="F94" t="s">
        <v>91</v>
      </c>
      <c r="G94" t="s">
        <v>92</v>
      </c>
    </row>
    <row r="95" spans="1:7" x14ac:dyDescent="0.55000000000000004">
      <c r="A95" t="s">
        <v>88</v>
      </c>
      <c r="B95" t="s">
        <v>89</v>
      </c>
      <c r="C95" s="14">
        <v>185000000000000</v>
      </c>
      <c r="D95">
        <v>2020</v>
      </c>
      <c r="E95" t="s">
        <v>90</v>
      </c>
      <c r="F95" t="s">
        <v>91</v>
      </c>
      <c r="G95" t="s">
        <v>113</v>
      </c>
    </row>
    <row r="96" spans="1:7" x14ac:dyDescent="0.55000000000000004">
      <c r="A96" t="s">
        <v>88</v>
      </c>
      <c r="B96" t="s">
        <v>93</v>
      </c>
      <c r="C96" s="14">
        <v>1.39E+16</v>
      </c>
      <c r="D96">
        <v>2020</v>
      </c>
      <c r="E96" t="s">
        <v>90</v>
      </c>
      <c r="F96" t="s">
        <v>91</v>
      </c>
      <c r="G96" t="s">
        <v>113</v>
      </c>
    </row>
    <row r="97" spans="1:7" x14ac:dyDescent="0.55000000000000004">
      <c r="A97" t="s">
        <v>94</v>
      </c>
      <c r="B97" t="s">
        <v>96</v>
      </c>
      <c r="C97" s="14">
        <v>12000000000000</v>
      </c>
      <c r="D97">
        <v>2020</v>
      </c>
      <c r="E97" t="s">
        <v>90</v>
      </c>
      <c r="F97" t="s">
        <v>91</v>
      </c>
      <c r="G97" t="s">
        <v>113</v>
      </c>
    </row>
    <row r="98" spans="1:7" x14ac:dyDescent="0.55000000000000004">
      <c r="A98" t="s">
        <v>94</v>
      </c>
      <c r="B98" t="s">
        <v>97</v>
      </c>
      <c r="C98" s="14">
        <v>272000000000000</v>
      </c>
      <c r="D98">
        <v>2020</v>
      </c>
      <c r="E98" t="s">
        <v>90</v>
      </c>
      <c r="F98" t="s">
        <v>91</v>
      </c>
      <c r="G98" t="s">
        <v>113</v>
      </c>
    </row>
    <row r="99" spans="1:7" x14ac:dyDescent="0.55000000000000004">
      <c r="A99" t="s">
        <v>94</v>
      </c>
      <c r="B99" t="s">
        <v>98</v>
      </c>
      <c r="C99" s="14">
        <v>3291000000000000</v>
      </c>
      <c r="D99">
        <v>2020</v>
      </c>
      <c r="E99" t="s">
        <v>90</v>
      </c>
      <c r="F99" t="s">
        <v>91</v>
      </c>
      <c r="G99" t="s">
        <v>113</v>
      </c>
    </row>
    <row r="100" spans="1:7" x14ac:dyDescent="0.55000000000000004">
      <c r="A100" t="s">
        <v>99</v>
      </c>
      <c r="B100" t="s">
        <v>100</v>
      </c>
      <c r="C100" s="14">
        <v>2.07E+17</v>
      </c>
      <c r="D100">
        <v>2020</v>
      </c>
      <c r="E100" t="s">
        <v>90</v>
      </c>
      <c r="F100" t="s">
        <v>91</v>
      </c>
      <c r="G100" t="s">
        <v>113</v>
      </c>
    </row>
    <row r="101" spans="1:7" x14ac:dyDescent="0.55000000000000004">
      <c r="A101" t="s">
        <v>99</v>
      </c>
      <c r="B101" t="s">
        <v>114</v>
      </c>
      <c r="C101" s="14">
        <v>2.04E+16</v>
      </c>
      <c r="D101">
        <v>2020</v>
      </c>
      <c r="E101" t="s">
        <v>90</v>
      </c>
      <c r="F101" t="s">
        <v>91</v>
      </c>
      <c r="G101" t="s">
        <v>113</v>
      </c>
    </row>
    <row r="102" spans="1:7" x14ac:dyDescent="0.55000000000000004">
      <c r="A102" t="s">
        <v>101</v>
      </c>
      <c r="B102" t="s">
        <v>103</v>
      </c>
      <c r="C102" s="14">
        <v>476000000000000</v>
      </c>
      <c r="D102">
        <v>2020</v>
      </c>
      <c r="E102" t="s">
        <v>90</v>
      </c>
      <c r="F102" t="s">
        <v>91</v>
      </c>
      <c r="G102" t="s">
        <v>113</v>
      </c>
    </row>
    <row r="103" spans="1:7" x14ac:dyDescent="0.55000000000000004">
      <c r="A103" t="s">
        <v>104</v>
      </c>
      <c r="B103" t="s">
        <v>105</v>
      </c>
      <c r="C103" s="14">
        <v>6503000000000000</v>
      </c>
      <c r="D103">
        <v>2020</v>
      </c>
      <c r="E103" t="s">
        <v>90</v>
      </c>
      <c r="F103" t="s">
        <v>91</v>
      </c>
      <c r="G103" t="s">
        <v>113</v>
      </c>
    </row>
    <row r="104" spans="1:7" x14ac:dyDescent="0.55000000000000004">
      <c r="A104" t="s">
        <v>88</v>
      </c>
      <c r="B104" t="s">
        <v>89</v>
      </c>
      <c r="C104" s="14">
        <v>34000000000000</v>
      </c>
      <c r="D104">
        <v>2030</v>
      </c>
      <c r="E104" t="s">
        <v>90</v>
      </c>
      <c r="F104" t="s">
        <v>91</v>
      </c>
      <c r="G104" t="s">
        <v>113</v>
      </c>
    </row>
    <row r="105" spans="1:7" x14ac:dyDescent="0.55000000000000004">
      <c r="A105" t="s">
        <v>88</v>
      </c>
      <c r="B105" t="s">
        <v>93</v>
      </c>
      <c r="C105" s="14">
        <v>1.82E+16</v>
      </c>
      <c r="D105">
        <v>2030</v>
      </c>
      <c r="E105" t="s">
        <v>90</v>
      </c>
      <c r="F105" t="s">
        <v>91</v>
      </c>
      <c r="G105" t="s">
        <v>113</v>
      </c>
    </row>
    <row r="106" spans="1:7" x14ac:dyDescent="0.55000000000000004">
      <c r="A106" t="s">
        <v>94</v>
      </c>
      <c r="B106" t="s">
        <v>96</v>
      </c>
      <c r="C106" s="14">
        <v>5000000000000</v>
      </c>
      <c r="D106">
        <v>2030</v>
      </c>
      <c r="E106" t="s">
        <v>90</v>
      </c>
      <c r="F106" t="s">
        <v>91</v>
      </c>
      <c r="G106" t="s">
        <v>113</v>
      </c>
    </row>
    <row r="107" spans="1:7" x14ac:dyDescent="0.55000000000000004">
      <c r="A107" t="s">
        <v>94</v>
      </c>
      <c r="B107" t="s">
        <v>97</v>
      </c>
      <c r="C107" s="14">
        <v>99000000000000</v>
      </c>
      <c r="D107">
        <v>2030</v>
      </c>
      <c r="E107" t="s">
        <v>90</v>
      </c>
      <c r="F107" t="s">
        <v>91</v>
      </c>
      <c r="G107" t="s">
        <v>113</v>
      </c>
    </row>
    <row r="108" spans="1:7" x14ac:dyDescent="0.55000000000000004">
      <c r="A108" t="s">
        <v>94</v>
      </c>
      <c r="B108" t="s">
        <v>98</v>
      </c>
      <c r="C108" s="14">
        <v>1572000000000000</v>
      </c>
      <c r="D108">
        <v>2030</v>
      </c>
      <c r="E108" t="s">
        <v>90</v>
      </c>
      <c r="F108" t="s">
        <v>91</v>
      </c>
      <c r="G108" t="s">
        <v>113</v>
      </c>
    </row>
    <row r="109" spans="1:7" x14ac:dyDescent="0.55000000000000004">
      <c r="A109" t="s">
        <v>99</v>
      </c>
      <c r="B109" t="s">
        <v>100</v>
      </c>
      <c r="C109" s="14">
        <v>2.4E+17</v>
      </c>
      <c r="D109">
        <v>2030</v>
      </c>
      <c r="E109" t="s">
        <v>90</v>
      </c>
      <c r="F109" t="s">
        <v>91</v>
      </c>
      <c r="G109" t="s">
        <v>113</v>
      </c>
    </row>
    <row r="110" spans="1:7" x14ac:dyDescent="0.55000000000000004">
      <c r="A110" t="s">
        <v>99</v>
      </c>
      <c r="B110" t="s">
        <v>114</v>
      </c>
      <c r="C110" s="14">
        <v>2.19E+16</v>
      </c>
      <c r="D110">
        <v>2030</v>
      </c>
      <c r="E110" t="s">
        <v>90</v>
      </c>
      <c r="F110" t="s">
        <v>91</v>
      </c>
      <c r="G110" t="s">
        <v>113</v>
      </c>
    </row>
    <row r="111" spans="1:7" x14ac:dyDescent="0.55000000000000004">
      <c r="A111" t="s">
        <v>106</v>
      </c>
      <c r="B111" t="s">
        <v>107</v>
      </c>
      <c r="D111">
        <v>2030</v>
      </c>
      <c r="E111" t="s">
        <v>90</v>
      </c>
      <c r="F111" t="s">
        <v>91</v>
      </c>
      <c r="G111" t="s">
        <v>113</v>
      </c>
    </row>
    <row r="112" spans="1:7" x14ac:dyDescent="0.55000000000000004">
      <c r="A112" t="s">
        <v>101</v>
      </c>
      <c r="B112" t="s">
        <v>103</v>
      </c>
      <c r="C112" s="14">
        <v>1230000000000000</v>
      </c>
      <c r="D112">
        <v>2030</v>
      </c>
      <c r="E112" t="s">
        <v>90</v>
      </c>
      <c r="F112" t="s">
        <v>91</v>
      </c>
      <c r="G112" t="s">
        <v>113</v>
      </c>
    </row>
    <row r="113" spans="1:7" x14ac:dyDescent="0.55000000000000004">
      <c r="A113" t="s">
        <v>104</v>
      </c>
      <c r="B113" t="s">
        <v>105</v>
      </c>
      <c r="C113" s="14">
        <v>6814000000000000</v>
      </c>
      <c r="D113">
        <v>2030</v>
      </c>
      <c r="E113" t="s">
        <v>90</v>
      </c>
      <c r="F113" t="s">
        <v>91</v>
      </c>
      <c r="G113" t="s">
        <v>113</v>
      </c>
    </row>
    <row r="114" spans="1:7" x14ac:dyDescent="0.55000000000000004">
      <c r="A114" t="s">
        <v>88</v>
      </c>
      <c r="B114" t="s">
        <v>89</v>
      </c>
      <c r="C114" s="14">
        <v>17000000000000</v>
      </c>
      <c r="D114">
        <v>2040</v>
      </c>
      <c r="E114" t="s">
        <v>90</v>
      </c>
      <c r="F114" t="s">
        <v>91</v>
      </c>
      <c r="G114" t="s">
        <v>113</v>
      </c>
    </row>
    <row r="115" spans="1:7" x14ac:dyDescent="0.55000000000000004">
      <c r="A115" t="s">
        <v>88</v>
      </c>
      <c r="B115" t="s">
        <v>93</v>
      </c>
      <c r="C115" s="14">
        <v>2.1E+16</v>
      </c>
      <c r="D115">
        <v>2040</v>
      </c>
      <c r="E115" t="s">
        <v>90</v>
      </c>
      <c r="F115" t="s">
        <v>91</v>
      </c>
      <c r="G115" t="s">
        <v>113</v>
      </c>
    </row>
    <row r="116" spans="1:7" x14ac:dyDescent="0.55000000000000004">
      <c r="A116" t="s">
        <v>94</v>
      </c>
      <c r="B116" t="s">
        <v>96</v>
      </c>
      <c r="C116" s="14">
        <v>2000000000000</v>
      </c>
      <c r="D116">
        <v>2040</v>
      </c>
      <c r="E116" t="s">
        <v>90</v>
      </c>
      <c r="F116" t="s">
        <v>91</v>
      </c>
      <c r="G116" t="s">
        <v>113</v>
      </c>
    </row>
    <row r="117" spans="1:7" x14ac:dyDescent="0.55000000000000004">
      <c r="A117" t="s">
        <v>94</v>
      </c>
      <c r="B117" t="s">
        <v>97</v>
      </c>
      <c r="C117" s="14">
        <v>37000000000000</v>
      </c>
      <c r="D117">
        <v>2040</v>
      </c>
      <c r="E117" t="s">
        <v>90</v>
      </c>
      <c r="F117" t="s">
        <v>91</v>
      </c>
      <c r="G117" t="s">
        <v>113</v>
      </c>
    </row>
    <row r="118" spans="1:7" x14ac:dyDescent="0.55000000000000004">
      <c r="A118" t="s">
        <v>99</v>
      </c>
      <c r="B118" t="s">
        <v>100</v>
      </c>
      <c r="C118" s="14">
        <v>2.49E+17</v>
      </c>
      <c r="D118">
        <v>2040</v>
      </c>
      <c r="E118" t="s">
        <v>90</v>
      </c>
      <c r="F118" t="s">
        <v>91</v>
      </c>
      <c r="G118" t="s">
        <v>113</v>
      </c>
    </row>
    <row r="119" spans="1:7" x14ac:dyDescent="0.55000000000000004">
      <c r="A119" t="s">
        <v>99</v>
      </c>
      <c r="B119" t="s">
        <v>114</v>
      </c>
      <c r="C119" s="14">
        <v>2.27E+16</v>
      </c>
      <c r="D119">
        <v>2040</v>
      </c>
      <c r="E119" t="s">
        <v>90</v>
      </c>
      <c r="F119" t="s">
        <v>91</v>
      </c>
      <c r="G119" t="s">
        <v>113</v>
      </c>
    </row>
    <row r="120" spans="1:7" x14ac:dyDescent="0.55000000000000004">
      <c r="A120" t="s">
        <v>101</v>
      </c>
      <c r="B120" t="s">
        <v>103</v>
      </c>
      <c r="C120" s="14">
        <v>1206000000000000</v>
      </c>
      <c r="D120">
        <v>2040</v>
      </c>
      <c r="E120" t="s">
        <v>90</v>
      </c>
      <c r="F120" t="s">
        <v>91</v>
      </c>
      <c r="G120" t="s">
        <v>113</v>
      </c>
    </row>
    <row r="121" spans="1:7" x14ac:dyDescent="0.55000000000000004">
      <c r="A121" t="s">
        <v>104</v>
      </c>
      <c r="B121" t="s">
        <v>105</v>
      </c>
      <c r="C121" s="14">
        <v>9784000000000000</v>
      </c>
      <c r="D121">
        <v>2040</v>
      </c>
      <c r="E121" t="s">
        <v>90</v>
      </c>
      <c r="F121" t="s">
        <v>91</v>
      </c>
      <c r="G121" t="s">
        <v>113</v>
      </c>
    </row>
    <row r="122" spans="1:7" x14ac:dyDescent="0.55000000000000004">
      <c r="A122" t="s">
        <v>88</v>
      </c>
      <c r="B122" t="s">
        <v>93</v>
      </c>
      <c r="C122" s="14">
        <v>2.2E+16</v>
      </c>
      <c r="D122">
        <v>2050</v>
      </c>
      <c r="E122" t="s">
        <v>90</v>
      </c>
      <c r="F122" t="s">
        <v>91</v>
      </c>
      <c r="G122" t="s">
        <v>113</v>
      </c>
    </row>
    <row r="123" spans="1:7" x14ac:dyDescent="0.55000000000000004">
      <c r="A123" t="s">
        <v>99</v>
      </c>
      <c r="B123" t="s">
        <v>100</v>
      </c>
      <c r="C123" s="14">
        <v>2.57E+17</v>
      </c>
      <c r="D123">
        <v>2050</v>
      </c>
      <c r="E123" t="s">
        <v>90</v>
      </c>
      <c r="F123" t="s">
        <v>91</v>
      </c>
      <c r="G123" t="s">
        <v>113</v>
      </c>
    </row>
    <row r="124" spans="1:7" x14ac:dyDescent="0.55000000000000004">
      <c r="A124" t="s">
        <v>99</v>
      </c>
      <c r="B124" t="s">
        <v>114</v>
      </c>
      <c r="C124" s="14">
        <v>2.35E+16</v>
      </c>
      <c r="D124">
        <v>2050</v>
      </c>
      <c r="E124" t="s">
        <v>90</v>
      </c>
      <c r="F124" t="s">
        <v>91</v>
      </c>
      <c r="G124" t="s">
        <v>113</v>
      </c>
    </row>
    <row r="125" spans="1:7" x14ac:dyDescent="0.55000000000000004">
      <c r="A125" t="s">
        <v>109</v>
      </c>
      <c r="B125" t="s">
        <v>110</v>
      </c>
      <c r="C125" s="14">
        <v>7.47E+16</v>
      </c>
      <c r="D125">
        <v>2050</v>
      </c>
      <c r="E125" t="s">
        <v>90</v>
      </c>
      <c r="F125" t="s">
        <v>91</v>
      </c>
      <c r="G125" t="s">
        <v>113</v>
      </c>
    </row>
    <row r="126" spans="1:7" x14ac:dyDescent="0.55000000000000004">
      <c r="A126" t="s">
        <v>101</v>
      </c>
      <c r="B126" t="s">
        <v>103</v>
      </c>
      <c r="C126" s="14">
        <v>4370000000000000</v>
      </c>
      <c r="D126">
        <v>2050</v>
      </c>
      <c r="E126" t="s">
        <v>90</v>
      </c>
      <c r="F126" t="s">
        <v>91</v>
      </c>
      <c r="G126" t="s">
        <v>113</v>
      </c>
    </row>
    <row r="127" spans="1:7" x14ac:dyDescent="0.55000000000000004">
      <c r="A127" t="s">
        <v>104</v>
      </c>
      <c r="B127" t="s">
        <v>105</v>
      </c>
      <c r="C127" s="14">
        <v>9607000000000000</v>
      </c>
      <c r="D127">
        <v>2050</v>
      </c>
      <c r="E127" t="s">
        <v>90</v>
      </c>
      <c r="F127" t="s">
        <v>91</v>
      </c>
      <c r="G127" t="s">
        <v>113</v>
      </c>
    </row>
    <row r="128" spans="1:7" x14ac:dyDescent="0.55000000000000004">
      <c r="A128" t="s">
        <v>88</v>
      </c>
      <c r="B128" t="s">
        <v>89</v>
      </c>
      <c r="C128" s="14">
        <v>568000000000000</v>
      </c>
      <c r="D128">
        <v>2060</v>
      </c>
      <c r="E128" t="s">
        <v>90</v>
      </c>
      <c r="F128" t="s">
        <v>91</v>
      </c>
      <c r="G128" t="s">
        <v>113</v>
      </c>
    </row>
    <row r="129" spans="1:7" x14ac:dyDescent="0.55000000000000004">
      <c r="A129" t="s">
        <v>94</v>
      </c>
      <c r="B129" t="s">
        <v>96</v>
      </c>
      <c r="D129">
        <v>2060</v>
      </c>
      <c r="E129" t="s">
        <v>90</v>
      </c>
      <c r="F129" t="s">
        <v>91</v>
      </c>
      <c r="G129" t="s">
        <v>113</v>
      </c>
    </row>
    <row r="130" spans="1:7" x14ac:dyDescent="0.55000000000000004">
      <c r="A130" t="s">
        <v>94</v>
      </c>
      <c r="B130" t="s">
        <v>98</v>
      </c>
      <c r="D130">
        <v>2060</v>
      </c>
      <c r="E130" t="s">
        <v>90</v>
      </c>
      <c r="F130" t="s">
        <v>91</v>
      </c>
      <c r="G130" t="s">
        <v>113</v>
      </c>
    </row>
    <row r="131" spans="1:7" x14ac:dyDescent="0.55000000000000004">
      <c r="A131" t="s">
        <v>99</v>
      </c>
      <c r="B131" t="s">
        <v>100</v>
      </c>
      <c r="C131" s="14">
        <v>2.57E+17</v>
      </c>
      <c r="D131">
        <v>2060</v>
      </c>
      <c r="E131" t="s">
        <v>90</v>
      </c>
      <c r="F131" t="s">
        <v>91</v>
      </c>
      <c r="G131" t="s">
        <v>113</v>
      </c>
    </row>
    <row r="132" spans="1:7" x14ac:dyDescent="0.55000000000000004">
      <c r="A132" t="s">
        <v>99</v>
      </c>
      <c r="B132" t="s">
        <v>114</v>
      </c>
      <c r="C132" s="14">
        <v>2.35E+16</v>
      </c>
      <c r="D132">
        <v>2060</v>
      </c>
      <c r="E132" t="s">
        <v>90</v>
      </c>
      <c r="F132" t="s">
        <v>91</v>
      </c>
      <c r="G132" t="s">
        <v>113</v>
      </c>
    </row>
    <row r="133" spans="1:7" x14ac:dyDescent="0.55000000000000004">
      <c r="A133" t="s">
        <v>109</v>
      </c>
      <c r="B133" t="s">
        <v>110</v>
      </c>
      <c r="C133" s="14">
        <v>1.76E+17</v>
      </c>
      <c r="D133">
        <v>2060</v>
      </c>
      <c r="E133" t="s">
        <v>90</v>
      </c>
      <c r="F133" t="s">
        <v>91</v>
      </c>
      <c r="G133" t="s">
        <v>113</v>
      </c>
    </row>
    <row r="134" spans="1:7" x14ac:dyDescent="0.55000000000000004">
      <c r="A134" t="s">
        <v>101</v>
      </c>
      <c r="B134" t="s">
        <v>103</v>
      </c>
      <c r="C134" s="14">
        <v>5960000000000000</v>
      </c>
      <c r="D134">
        <v>2060</v>
      </c>
      <c r="E134" t="s">
        <v>90</v>
      </c>
      <c r="F134" t="s">
        <v>91</v>
      </c>
      <c r="G134" t="s">
        <v>113</v>
      </c>
    </row>
    <row r="135" spans="1:7" x14ac:dyDescent="0.55000000000000004">
      <c r="A135" t="s">
        <v>104</v>
      </c>
      <c r="B135" t="s">
        <v>105</v>
      </c>
      <c r="C135" s="14">
        <v>1.3E+16</v>
      </c>
      <c r="D135">
        <v>2060</v>
      </c>
      <c r="E135" t="s">
        <v>90</v>
      </c>
      <c r="F135" t="s">
        <v>91</v>
      </c>
      <c r="G135" t="s">
        <v>113</v>
      </c>
    </row>
    <row r="136" spans="1:7" x14ac:dyDescent="0.55000000000000004">
      <c r="A136" t="s">
        <v>88</v>
      </c>
      <c r="B136" t="s">
        <v>89</v>
      </c>
      <c r="C136" s="14">
        <v>185000000000000</v>
      </c>
      <c r="D136">
        <v>2020</v>
      </c>
      <c r="E136" t="s">
        <v>111</v>
      </c>
      <c r="F136" t="s">
        <v>91</v>
      </c>
      <c r="G136" t="s">
        <v>113</v>
      </c>
    </row>
    <row r="137" spans="1:7" x14ac:dyDescent="0.55000000000000004">
      <c r="A137" t="s">
        <v>88</v>
      </c>
      <c r="B137" t="s">
        <v>93</v>
      </c>
      <c r="C137" s="14">
        <v>1.39E+16</v>
      </c>
      <c r="D137">
        <v>2020</v>
      </c>
      <c r="E137" t="s">
        <v>111</v>
      </c>
      <c r="F137" t="s">
        <v>91</v>
      </c>
      <c r="G137" t="s">
        <v>113</v>
      </c>
    </row>
    <row r="138" spans="1:7" x14ac:dyDescent="0.55000000000000004">
      <c r="A138" t="s">
        <v>94</v>
      </c>
      <c r="B138" t="s">
        <v>96</v>
      </c>
      <c r="C138" s="14">
        <v>12000000000000</v>
      </c>
      <c r="D138">
        <v>2020</v>
      </c>
      <c r="E138" t="s">
        <v>111</v>
      </c>
      <c r="F138" t="s">
        <v>91</v>
      </c>
      <c r="G138" t="s">
        <v>113</v>
      </c>
    </row>
    <row r="139" spans="1:7" x14ac:dyDescent="0.55000000000000004">
      <c r="A139" t="s">
        <v>94</v>
      </c>
      <c r="B139" t="s">
        <v>97</v>
      </c>
      <c r="C139" s="14">
        <v>272000000000000</v>
      </c>
      <c r="D139">
        <v>2020</v>
      </c>
      <c r="E139" t="s">
        <v>111</v>
      </c>
      <c r="F139" t="s">
        <v>91</v>
      </c>
      <c r="G139" t="s">
        <v>113</v>
      </c>
    </row>
    <row r="140" spans="1:7" x14ac:dyDescent="0.55000000000000004">
      <c r="A140" t="s">
        <v>94</v>
      </c>
      <c r="B140" t="s">
        <v>98</v>
      </c>
      <c r="C140" s="14">
        <v>3291000000000000</v>
      </c>
      <c r="D140">
        <v>2020</v>
      </c>
      <c r="E140" t="s">
        <v>111</v>
      </c>
      <c r="F140" t="s">
        <v>91</v>
      </c>
      <c r="G140" t="s">
        <v>113</v>
      </c>
    </row>
    <row r="141" spans="1:7" x14ac:dyDescent="0.55000000000000004">
      <c r="A141" t="s">
        <v>99</v>
      </c>
      <c r="B141" t="s">
        <v>100</v>
      </c>
      <c r="C141" s="14">
        <v>2.07E+17</v>
      </c>
      <c r="D141">
        <v>2020</v>
      </c>
      <c r="E141" t="s">
        <v>111</v>
      </c>
      <c r="F141" t="s">
        <v>91</v>
      </c>
      <c r="G141" t="s">
        <v>113</v>
      </c>
    </row>
    <row r="142" spans="1:7" x14ac:dyDescent="0.55000000000000004">
      <c r="A142" t="s">
        <v>99</v>
      </c>
      <c r="B142" t="s">
        <v>114</v>
      </c>
      <c r="C142" s="14">
        <v>2.04E+16</v>
      </c>
      <c r="D142">
        <v>2020</v>
      </c>
      <c r="E142" t="s">
        <v>111</v>
      </c>
      <c r="F142" t="s">
        <v>91</v>
      </c>
      <c r="G142" t="s">
        <v>113</v>
      </c>
    </row>
    <row r="143" spans="1:7" x14ac:dyDescent="0.55000000000000004">
      <c r="A143" t="s">
        <v>101</v>
      </c>
      <c r="B143" t="s">
        <v>103</v>
      </c>
      <c r="C143" s="14">
        <v>610000000000000</v>
      </c>
      <c r="D143">
        <v>2020</v>
      </c>
      <c r="E143" t="s">
        <v>111</v>
      </c>
      <c r="F143" t="s">
        <v>91</v>
      </c>
      <c r="G143" t="s">
        <v>113</v>
      </c>
    </row>
    <row r="144" spans="1:7" x14ac:dyDescent="0.55000000000000004">
      <c r="A144" t="s">
        <v>104</v>
      </c>
      <c r="B144" t="s">
        <v>105</v>
      </c>
      <c r="C144" s="14">
        <v>6503000000000000</v>
      </c>
      <c r="D144">
        <v>2020</v>
      </c>
      <c r="E144" t="s">
        <v>111</v>
      </c>
      <c r="F144" t="s">
        <v>91</v>
      </c>
      <c r="G144" t="s">
        <v>113</v>
      </c>
    </row>
    <row r="145" spans="1:7" x14ac:dyDescent="0.55000000000000004">
      <c r="A145" t="s">
        <v>88</v>
      </c>
      <c r="B145" t="s">
        <v>89</v>
      </c>
      <c r="C145" s="14">
        <v>34000000000000</v>
      </c>
      <c r="D145">
        <v>2030</v>
      </c>
      <c r="E145" t="s">
        <v>111</v>
      </c>
      <c r="F145" t="s">
        <v>91</v>
      </c>
      <c r="G145" t="s">
        <v>113</v>
      </c>
    </row>
    <row r="146" spans="1:7" x14ac:dyDescent="0.55000000000000004">
      <c r="A146" t="s">
        <v>88</v>
      </c>
      <c r="B146" t="s">
        <v>93</v>
      </c>
      <c r="C146" s="14">
        <v>1.82E+16</v>
      </c>
      <c r="D146">
        <v>2030</v>
      </c>
      <c r="E146" t="s">
        <v>111</v>
      </c>
      <c r="F146" t="s">
        <v>91</v>
      </c>
      <c r="G146" t="s">
        <v>113</v>
      </c>
    </row>
    <row r="147" spans="1:7" x14ac:dyDescent="0.55000000000000004">
      <c r="A147" t="s">
        <v>94</v>
      </c>
      <c r="B147" t="s">
        <v>96</v>
      </c>
      <c r="C147" s="14">
        <v>5000000000000</v>
      </c>
      <c r="D147">
        <v>2030</v>
      </c>
      <c r="E147" t="s">
        <v>111</v>
      </c>
      <c r="F147" t="s">
        <v>91</v>
      </c>
      <c r="G147" t="s">
        <v>113</v>
      </c>
    </row>
    <row r="148" spans="1:7" x14ac:dyDescent="0.55000000000000004">
      <c r="A148" t="s">
        <v>94</v>
      </c>
      <c r="B148" t="s">
        <v>97</v>
      </c>
      <c r="C148" s="14">
        <v>99000000000000</v>
      </c>
      <c r="D148">
        <v>2030</v>
      </c>
      <c r="E148" t="s">
        <v>111</v>
      </c>
      <c r="F148" t="s">
        <v>91</v>
      </c>
      <c r="G148" t="s">
        <v>113</v>
      </c>
    </row>
    <row r="149" spans="1:7" x14ac:dyDescent="0.55000000000000004">
      <c r="A149" t="s">
        <v>94</v>
      </c>
      <c r="B149" t="s">
        <v>98</v>
      </c>
      <c r="C149" s="14">
        <v>1572000000000000</v>
      </c>
      <c r="D149">
        <v>2030</v>
      </c>
      <c r="E149" t="s">
        <v>111</v>
      </c>
      <c r="F149" t="s">
        <v>91</v>
      </c>
      <c r="G149" t="s">
        <v>113</v>
      </c>
    </row>
    <row r="150" spans="1:7" x14ac:dyDescent="0.55000000000000004">
      <c r="A150" t="s">
        <v>99</v>
      </c>
      <c r="B150" t="s">
        <v>100</v>
      </c>
      <c r="C150" s="14">
        <v>2.4E+17</v>
      </c>
      <c r="D150">
        <v>2030</v>
      </c>
      <c r="E150" t="s">
        <v>111</v>
      </c>
      <c r="F150" t="s">
        <v>91</v>
      </c>
      <c r="G150" t="s">
        <v>113</v>
      </c>
    </row>
    <row r="151" spans="1:7" x14ac:dyDescent="0.55000000000000004">
      <c r="A151" t="s">
        <v>99</v>
      </c>
      <c r="B151" t="s">
        <v>114</v>
      </c>
      <c r="C151" s="14">
        <v>4.15E+16</v>
      </c>
      <c r="D151">
        <v>2030</v>
      </c>
      <c r="E151" t="s">
        <v>111</v>
      </c>
      <c r="F151" t="s">
        <v>91</v>
      </c>
      <c r="G151" t="s">
        <v>113</v>
      </c>
    </row>
    <row r="152" spans="1:7" x14ac:dyDescent="0.55000000000000004">
      <c r="A152" t="s">
        <v>101</v>
      </c>
      <c r="B152" t="s">
        <v>103</v>
      </c>
      <c r="C152" s="14">
        <v>1230000000000000</v>
      </c>
      <c r="D152">
        <v>2030</v>
      </c>
      <c r="E152" t="s">
        <v>111</v>
      </c>
      <c r="F152" t="s">
        <v>91</v>
      </c>
      <c r="G152" t="s">
        <v>113</v>
      </c>
    </row>
    <row r="153" spans="1:7" x14ac:dyDescent="0.55000000000000004">
      <c r="A153" t="s">
        <v>104</v>
      </c>
      <c r="B153" t="s">
        <v>105</v>
      </c>
      <c r="C153" s="14">
        <v>1.68E+16</v>
      </c>
      <c r="D153">
        <v>2030</v>
      </c>
      <c r="E153" t="s">
        <v>111</v>
      </c>
      <c r="F153" t="s">
        <v>91</v>
      </c>
      <c r="G153" t="s">
        <v>113</v>
      </c>
    </row>
    <row r="154" spans="1:7" x14ac:dyDescent="0.55000000000000004">
      <c r="A154" t="s">
        <v>88</v>
      </c>
      <c r="B154" t="s">
        <v>89</v>
      </c>
      <c r="C154" s="14">
        <v>17000000000000</v>
      </c>
      <c r="D154">
        <v>2040</v>
      </c>
      <c r="E154" t="s">
        <v>111</v>
      </c>
      <c r="F154" t="s">
        <v>91</v>
      </c>
      <c r="G154" t="s">
        <v>113</v>
      </c>
    </row>
    <row r="155" spans="1:7" x14ac:dyDescent="0.55000000000000004">
      <c r="A155" t="s">
        <v>88</v>
      </c>
      <c r="B155" t="s">
        <v>93</v>
      </c>
      <c r="C155" s="14">
        <v>2.74E+16</v>
      </c>
      <c r="D155">
        <v>2040</v>
      </c>
      <c r="E155" t="s">
        <v>111</v>
      </c>
      <c r="F155" t="s">
        <v>91</v>
      </c>
      <c r="G155" t="s">
        <v>113</v>
      </c>
    </row>
    <row r="156" spans="1:7" x14ac:dyDescent="0.55000000000000004">
      <c r="A156" t="s">
        <v>94</v>
      </c>
      <c r="B156" t="s">
        <v>96</v>
      </c>
      <c r="C156" s="14">
        <v>2000000000000</v>
      </c>
      <c r="D156">
        <v>2040</v>
      </c>
      <c r="E156" t="s">
        <v>111</v>
      </c>
      <c r="F156" t="s">
        <v>91</v>
      </c>
      <c r="G156" t="s">
        <v>113</v>
      </c>
    </row>
    <row r="157" spans="1:7" x14ac:dyDescent="0.55000000000000004">
      <c r="A157" t="s">
        <v>94</v>
      </c>
      <c r="B157" t="s">
        <v>97</v>
      </c>
      <c r="C157" s="14">
        <v>37000000000000</v>
      </c>
      <c r="D157">
        <v>2040</v>
      </c>
      <c r="E157" t="s">
        <v>111</v>
      </c>
      <c r="F157" t="s">
        <v>91</v>
      </c>
      <c r="G157" t="s">
        <v>113</v>
      </c>
    </row>
    <row r="158" spans="1:7" x14ac:dyDescent="0.55000000000000004">
      <c r="A158" t="s">
        <v>99</v>
      </c>
      <c r="B158" t="s">
        <v>100</v>
      </c>
      <c r="C158" s="14">
        <v>2.49E+17</v>
      </c>
      <c r="D158">
        <v>2040</v>
      </c>
      <c r="E158" t="s">
        <v>111</v>
      </c>
      <c r="F158" t="s">
        <v>91</v>
      </c>
      <c r="G158" t="s">
        <v>113</v>
      </c>
    </row>
    <row r="159" spans="1:7" x14ac:dyDescent="0.55000000000000004">
      <c r="A159" t="s">
        <v>99</v>
      </c>
      <c r="B159" t="s">
        <v>114</v>
      </c>
      <c r="C159" s="14">
        <v>9.02E+16</v>
      </c>
      <c r="D159">
        <v>2040</v>
      </c>
      <c r="E159" t="s">
        <v>111</v>
      </c>
      <c r="F159" t="s">
        <v>91</v>
      </c>
      <c r="G159" t="s">
        <v>113</v>
      </c>
    </row>
    <row r="160" spans="1:7" x14ac:dyDescent="0.55000000000000004">
      <c r="A160" t="s">
        <v>101</v>
      </c>
      <c r="B160" t="s">
        <v>103</v>
      </c>
      <c r="C160" s="14">
        <v>2001000000000000</v>
      </c>
      <c r="D160">
        <v>2040</v>
      </c>
      <c r="E160" t="s">
        <v>111</v>
      </c>
      <c r="F160" t="s">
        <v>91</v>
      </c>
      <c r="G160" t="s">
        <v>113</v>
      </c>
    </row>
    <row r="161" spans="1:7" x14ac:dyDescent="0.55000000000000004">
      <c r="A161" t="s">
        <v>104</v>
      </c>
      <c r="B161" t="s">
        <v>105</v>
      </c>
      <c r="C161" s="14">
        <v>8.41E+16</v>
      </c>
      <c r="D161">
        <v>2040</v>
      </c>
      <c r="E161" t="s">
        <v>111</v>
      </c>
      <c r="F161" t="s">
        <v>91</v>
      </c>
      <c r="G161" t="s">
        <v>113</v>
      </c>
    </row>
    <row r="162" spans="1:7" x14ac:dyDescent="0.55000000000000004">
      <c r="A162" t="s">
        <v>88</v>
      </c>
      <c r="B162" t="s">
        <v>93</v>
      </c>
      <c r="C162" s="14">
        <v>2.99E+16</v>
      </c>
      <c r="D162">
        <v>2050</v>
      </c>
      <c r="E162" t="s">
        <v>111</v>
      </c>
      <c r="F162" t="s">
        <v>91</v>
      </c>
      <c r="G162" t="s">
        <v>113</v>
      </c>
    </row>
    <row r="163" spans="1:7" x14ac:dyDescent="0.55000000000000004">
      <c r="A163" t="s">
        <v>99</v>
      </c>
      <c r="B163" t="s">
        <v>100</v>
      </c>
      <c r="C163" s="14">
        <v>2.57E+17</v>
      </c>
      <c r="D163">
        <v>2050</v>
      </c>
      <c r="E163" t="s">
        <v>111</v>
      </c>
      <c r="F163" t="s">
        <v>91</v>
      </c>
      <c r="G163" t="s">
        <v>113</v>
      </c>
    </row>
    <row r="164" spans="1:7" x14ac:dyDescent="0.55000000000000004">
      <c r="A164" t="s">
        <v>99</v>
      </c>
      <c r="B164" t="s">
        <v>114</v>
      </c>
      <c r="C164" s="14">
        <v>1.14E+17</v>
      </c>
      <c r="D164">
        <v>2050</v>
      </c>
      <c r="E164" t="s">
        <v>111</v>
      </c>
      <c r="F164" t="s">
        <v>91</v>
      </c>
      <c r="G164" t="s">
        <v>113</v>
      </c>
    </row>
    <row r="165" spans="1:7" x14ac:dyDescent="0.55000000000000004">
      <c r="A165" t="s">
        <v>109</v>
      </c>
      <c r="B165" t="s">
        <v>110</v>
      </c>
      <c r="C165" s="14">
        <v>1.08E+16</v>
      </c>
      <c r="D165">
        <v>2050</v>
      </c>
      <c r="E165" t="s">
        <v>111</v>
      </c>
      <c r="F165" t="s">
        <v>91</v>
      </c>
      <c r="G165" t="s">
        <v>113</v>
      </c>
    </row>
    <row r="166" spans="1:7" x14ac:dyDescent="0.55000000000000004">
      <c r="A166" t="s">
        <v>101</v>
      </c>
      <c r="B166" t="s">
        <v>103</v>
      </c>
      <c r="C166" s="14">
        <v>4370000000000000</v>
      </c>
      <c r="D166">
        <v>2050</v>
      </c>
      <c r="E166" t="s">
        <v>111</v>
      </c>
      <c r="F166" t="s">
        <v>91</v>
      </c>
      <c r="G166" t="s">
        <v>113</v>
      </c>
    </row>
    <row r="167" spans="1:7" x14ac:dyDescent="0.55000000000000004">
      <c r="A167" t="s">
        <v>104</v>
      </c>
      <c r="B167" t="s">
        <v>105</v>
      </c>
      <c r="C167" s="14">
        <v>3.25E+17</v>
      </c>
      <c r="D167">
        <v>2050</v>
      </c>
      <c r="E167" t="s">
        <v>111</v>
      </c>
      <c r="F167" t="s">
        <v>91</v>
      </c>
      <c r="G167" t="s">
        <v>113</v>
      </c>
    </row>
    <row r="168" spans="1:7" x14ac:dyDescent="0.55000000000000004">
      <c r="A168" t="s">
        <v>88</v>
      </c>
      <c r="B168" t="s">
        <v>93</v>
      </c>
      <c r="C168" s="14">
        <v>3E+16</v>
      </c>
      <c r="D168">
        <v>2060</v>
      </c>
      <c r="E168" t="s">
        <v>111</v>
      </c>
      <c r="F168" t="s">
        <v>91</v>
      </c>
      <c r="G168" t="s">
        <v>113</v>
      </c>
    </row>
    <row r="169" spans="1:7" x14ac:dyDescent="0.55000000000000004">
      <c r="A169" t="s">
        <v>99</v>
      </c>
      <c r="B169" t="s">
        <v>100</v>
      </c>
      <c r="C169" s="14">
        <v>2.57E+17</v>
      </c>
      <c r="D169">
        <v>2060</v>
      </c>
      <c r="E169" t="s">
        <v>111</v>
      </c>
      <c r="F169" t="s">
        <v>91</v>
      </c>
      <c r="G169" t="s">
        <v>113</v>
      </c>
    </row>
    <row r="170" spans="1:7" x14ac:dyDescent="0.55000000000000004">
      <c r="A170" t="s">
        <v>99</v>
      </c>
      <c r="B170" t="s">
        <v>114</v>
      </c>
      <c r="C170" s="14">
        <v>1.14E+17</v>
      </c>
      <c r="D170">
        <v>2060</v>
      </c>
      <c r="E170" t="s">
        <v>111</v>
      </c>
      <c r="F170" t="s">
        <v>91</v>
      </c>
      <c r="G170" t="s">
        <v>113</v>
      </c>
    </row>
    <row r="171" spans="1:7" x14ac:dyDescent="0.55000000000000004">
      <c r="A171" t="s">
        <v>109</v>
      </c>
      <c r="B171" t="s">
        <v>110</v>
      </c>
      <c r="C171" s="14">
        <v>5.39E+16</v>
      </c>
      <c r="D171">
        <v>2060</v>
      </c>
      <c r="E171" t="s">
        <v>111</v>
      </c>
      <c r="F171" t="s">
        <v>91</v>
      </c>
      <c r="G171" t="s">
        <v>113</v>
      </c>
    </row>
    <row r="172" spans="1:7" x14ac:dyDescent="0.55000000000000004">
      <c r="A172" t="s">
        <v>101</v>
      </c>
      <c r="B172" t="s">
        <v>103</v>
      </c>
      <c r="C172" s="14">
        <v>5960000000000000</v>
      </c>
      <c r="D172">
        <v>2060</v>
      </c>
      <c r="E172" t="s">
        <v>111</v>
      </c>
      <c r="F172" t="s">
        <v>91</v>
      </c>
      <c r="G172" t="s">
        <v>113</v>
      </c>
    </row>
    <row r="173" spans="1:7" x14ac:dyDescent="0.55000000000000004">
      <c r="A173" t="s">
        <v>104</v>
      </c>
      <c r="B173" t="s">
        <v>105</v>
      </c>
      <c r="C173" s="14">
        <v>3.2E+17</v>
      </c>
      <c r="D173">
        <v>2060</v>
      </c>
      <c r="E173" t="s">
        <v>111</v>
      </c>
      <c r="F173" t="s">
        <v>91</v>
      </c>
      <c r="G173" t="s">
        <v>113</v>
      </c>
    </row>
    <row r="174" spans="1:7" x14ac:dyDescent="0.55000000000000004">
      <c r="A174" t="s">
        <v>88</v>
      </c>
      <c r="B174" t="s">
        <v>93</v>
      </c>
      <c r="C174" s="14">
        <v>275000000000000</v>
      </c>
      <c r="D174">
        <v>2020</v>
      </c>
      <c r="E174" t="s">
        <v>90</v>
      </c>
      <c r="F174" t="s">
        <v>91</v>
      </c>
      <c r="G174" t="s">
        <v>115</v>
      </c>
    </row>
    <row r="175" spans="1:7" x14ac:dyDescent="0.55000000000000004">
      <c r="A175" t="s">
        <v>94</v>
      </c>
      <c r="B175" t="s">
        <v>96</v>
      </c>
      <c r="C175" s="14">
        <v>21000000000000</v>
      </c>
      <c r="D175">
        <v>2020</v>
      </c>
      <c r="E175" t="s">
        <v>90</v>
      </c>
      <c r="F175" t="s">
        <v>91</v>
      </c>
      <c r="G175" t="s">
        <v>115</v>
      </c>
    </row>
    <row r="176" spans="1:7" x14ac:dyDescent="0.55000000000000004">
      <c r="A176" t="s">
        <v>94</v>
      </c>
      <c r="B176" t="s">
        <v>97</v>
      </c>
      <c r="C176" s="14">
        <v>44000000000000</v>
      </c>
      <c r="D176">
        <v>2020</v>
      </c>
      <c r="E176" t="s">
        <v>90</v>
      </c>
      <c r="F176" t="s">
        <v>91</v>
      </c>
      <c r="G176" t="s">
        <v>115</v>
      </c>
    </row>
    <row r="177" spans="1:7" x14ac:dyDescent="0.55000000000000004">
      <c r="A177" t="s">
        <v>94</v>
      </c>
      <c r="B177" t="s">
        <v>98</v>
      </c>
      <c r="C177" s="14">
        <v>78000000000000</v>
      </c>
      <c r="D177">
        <v>2020</v>
      </c>
      <c r="E177" t="s">
        <v>90</v>
      </c>
      <c r="F177" t="s">
        <v>91</v>
      </c>
      <c r="G177" t="s">
        <v>115</v>
      </c>
    </row>
    <row r="178" spans="1:7" x14ac:dyDescent="0.55000000000000004">
      <c r="A178" t="s">
        <v>99</v>
      </c>
      <c r="B178" t="s">
        <v>100</v>
      </c>
      <c r="C178" s="14">
        <v>5.3E+16</v>
      </c>
      <c r="D178">
        <v>2020</v>
      </c>
      <c r="E178" t="s">
        <v>90</v>
      </c>
      <c r="F178" t="s">
        <v>91</v>
      </c>
      <c r="G178" t="s">
        <v>115</v>
      </c>
    </row>
    <row r="179" spans="1:7" x14ac:dyDescent="0.55000000000000004">
      <c r="A179" t="s">
        <v>99</v>
      </c>
      <c r="B179" t="s">
        <v>114</v>
      </c>
      <c r="C179" s="14">
        <v>6.42E+16</v>
      </c>
      <c r="D179">
        <v>2020</v>
      </c>
      <c r="E179" t="s">
        <v>90</v>
      </c>
      <c r="F179" t="s">
        <v>91</v>
      </c>
      <c r="G179" t="s">
        <v>115</v>
      </c>
    </row>
    <row r="180" spans="1:7" x14ac:dyDescent="0.55000000000000004">
      <c r="A180" t="s">
        <v>101</v>
      </c>
      <c r="B180" t="s">
        <v>103</v>
      </c>
      <c r="C180" s="14">
        <v>87000000000000</v>
      </c>
      <c r="D180">
        <v>2020</v>
      </c>
      <c r="E180" t="s">
        <v>90</v>
      </c>
      <c r="F180" t="s">
        <v>91</v>
      </c>
      <c r="G180" t="s">
        <v>115</v>
      </c>
    </row>
    <row r="181" spans="1:7" x14ac:dyDescent="0.55000000000000004">
      <c r="A181" t="s">
        <v>104</v>
      </c>
      <c r="B181" t="s">
        <v>105</v>
      </c>
      <c r="C181" s="14">
        <v>2415000000000000</v>
      </c>
      <c r="D181">
        <v>2020</v>
      </c>
      <c r="E181" t="s">
        <v>90</v>
      </c>
      <c r="F181" t="s">
        <v>91</v>
      </c>
      <c r="G181" t="s">
        <v>115</v>
      </c>
    </row>
    <row r="182" spans="1:7" x14ac:dyDescent="0.55000000000000004">
      <c r="A182" t="s">
        <v>88</v>
      </c>
      <c r="B182" t="s">
        <v>93</v>
      </c>
      <c r="C182" s="14">
        <v>190000000000000</v>
      </c>
      <c r="D182">
        <v>2030</v>
      </c>
      <c r="E182" t="s">
        <v>90</v>
      </c>
      <c r="F182" t="s">
        <v>91</v>
      </c>
      <c r="G182" t="s">
        <v>115</v>
      </c>
    </row>
    <row r="183" spans="1:7" x14ac:dyDescent="0.55000000000000004">
      <c r="A183" t="s">
        <v>94</v>
      </c>
      <c r="B183" t="s">
        <v>96</v>
      </c>
      <c r="C183" s="14">
        <v>14000000000000</v>
      </c>
      <c r="D183">
        <v>2030</v>
      </c>
      <c r="E183" t="s">
        <v>90</v>
      </c>
      <c r="F183" t="s">
        <v>91</v>
      </c>
      <c r="G183" t="s">
        <v>115</v>
      </c>
    </row>
    <row r="184" spans="1:7" x14ac:dyDescent="0.55000000000000004">
      <c r="A184" t="s">
        <v>94</v>
      </c>
      <c r="B184" t="s">
        <v>97</v>
      </c>
      <c r="C184" s="14">
        <v>26000000000000</v>
      </c>
      <c r="D184">
        <v>2030</v>
      </c>
      <c r="E184" t="s">
        <v>90</v>
      </c>
      <c r="F184" t="s">
        <v>91</v>
      </c>
      <c r="G184" t="s">
        <v>115</v>
      </c>
    </row>
    <row r="185" spans="1:7" x14ac:dyDescent="0.55000000000000004">
      <c r="A185" t="s">
        <v>94</v>
      </c>
      <c r="B185" t="s">
        <v>98</v>
      </c>
      <c r="C185" s="14">
        <v>102000000000000</v>
      </c>
      <c r="D185">
        <v>2030</v>
      </c>
      <c r="E185" t="s">
        <v>90</v>
      </c>
      <c r="F185" t="s">
        <v>91</v>
      </c>
      <c r="G185" t="s">
        <v>115</v>
      </c>
    </row>
    <row r="186" spans="1:7" x14ac:dyDescent="0.55000000000000004">
      <c r="A186" t="s">
        <v>99</v>
      </c>
      <c r="B186" t="s">
        <v>100</v>
      </c>
      <c r="C186" s="14">
        <v>6.43E+16</v>
      </c>
      <c r="D186">
        <v>2030</v>
      </c>
      <c r="E186" t="s">
        <v>90</v>
      </c>
      <c r="F186" t="s">
        <v>91</v>
      </c>
      <c r="G186" t="s">
        <v>115</v>
      </c>
    </row>
    <row r="187" spans="1:7" x14ac:dyDescent="0.55000000000000004">
      <c r="A187" t="s">
        <v>99</v>
      </c>
      <c r="B187" t="s">
        <v>114</v>
      </c>
      <c r="C187" s="14">
        <v>6.05E+16</v>
      </c>
      <c r="D187">
        <v>2030</v>
      </c>
      <c r="E187" t="s">
        <v>90</v>
      </c>
      <c r="F187" t="s">
        <v>91</v>
      </c>
      <c r="G187" t="s">
        <v>115</v>
      </c>
    </row>
    <row r="188" spans="1:7" x14ac:dyDescent="0.55000000000000004">
      <c r="A188" t="s">
        <v>101</v>
      </c>
      <c r="B188" t="s">
        <v>103</v>
      </c>
      <c r="C188" s="14">
        <v>64000000000000</v>
      </c>
      <c r="D188">
        <v>2030</v>
      </c>
      <c r="E188" t="s">
        <v>90</v>
      </c>
      <c r="F188" t="s">
        <v>91</v>
      </c>
      <c r="G188" t="s">
        <v>115</v>
      </c>
    </row>
    <row r="189" spans="1:7" x14ac:dyDescent="0.55000000000000004">
      <c r="A189" t="s">
        <v>104</v>
      </c>
      <c r="B189" t="s">
        <v>105</v>
      </c>
      <c r="C189" s="14">
        <v>3475000000000000</v>
      </c>
      <c r="D189">
        <v>2030</v>
      </c>
      <c r="E189" t="s">
        <v>90</v>
      </c>
      <c r="F189" t="s">
        <v>91</v>
      </c>
      <c r="G189" t="s">
        <v>115</v>
      </c>
    </row>
    <row r="190" spans="1:7" x14ac:dyDescent="0.55000000000000004">
      <c r="A190" t="s">
        <v>88</v>
      </c>
      <c r="B190" t="s">
        <v>93</v>
      </c>
      <c r="C190" s="14">
        <v>95000000000000</v>
      </c>
      <c r="D190">
        <v>2040</v>
      </c>
      <c r="E190" t="s">
        <v>90</v>
      </c>
      <c r="F190" t="s">
        <v>91</v>
      </c>
      <c r="G190" t="s">
        <v>115</v>
      </c>
    </row>
    <row r="191" spans="1:7" x14ac:dyDescent="0.55000000000000004">
      <c r="A191" t="s">
        <v>94</v>
      </c>
      <c r="B191" t="s">
        <v>96</v>
      </c>
      <c r="C191" s="14">
        <v>5000000000000</v>
      </c>
      <c r="D191">
        <v>2040</v>
      </c>
      <c r="E191" t="s">
        <v>90</v>
      </c>
      <c r="F191" t="s">
        <v>91</v>
      </c>
      <c r="G191" t="s">
        <v>115</v>
      </c>
    </row>
    <row r="192" spans="1:7" x14ac:dyDescent="0.55000000000000004">
      <c r="A192" t="s">
        <v>94</v>
      </c>
      <c r="B192" t="s">
        <v>97</v>
      </c>
      <c r="C192" s="14">
        <v>9000000000000</v>
      </c>
      <c r="D192">
        <v>2040</v>
      </c>
      <c r="E192" t="s">
        <v>90</v>
      </c>
      <c r="F192" t="s">
        <v>91</v>
      </c>
      <c r="G192" t="s">
        <v>115</v>
      </c>
    </row>
    <row r="193" spans="1:7" x14ac:dyDescent="0.55000000000000004">
      <c r="A193" t="s">
        <v>94</v>
      </c>
      <c r="B193" t="s">
        <v>98</v>
      </c>
      <c r="C193" s="14">
        <v>51000000000000</v>
      </c>
      <c r="D193">
        <v>2040</v>
      </c>
      <c r="E193" t="s">
        <v>90</v>
      </c>
      <c r="F193" t="s">
        <v>91</v>
      </c>
      <c r="G193" t="s">
        <v>115</v>
      </c>
    </row>
    <row r="194" spans="1:7" x14ac:dyDescent="0.55000000000000004">
      <c r="A194" t="s">
        <v>99</v>
      </c>
      <c r="B194" t="s">
        <v>100</v>
      </c>
      <c r="C194" s="14">
        <v>7.05E+16</v>
      </c>
      <c r="D194">
        <v>2040</v>
      </c>
      <c r="E194" t="s">
        <v>90</v>
      </c>
      <c r="F194" t="s">
        <v>91</v>
      </c>
      <c r="G194" t="s">
        <v>115</v>
      </c>
    </row>
    <row r="195" spans="1:7" x14ac:dyDescent="0.55000000000000004">
      <c r="A195" t="s">
        <v>99</v>
      </c>
      <c r="B195" t="s">
        <v>114</v>
      </c>
      <c r="C195" s="14">
        <v>6.63E+16</v>
      </c>
      <c r="D195">
        <v>2040</v>
      </c>
      <c r="E195" t="s">
        <v>90</v>
      </c>
      <c r="F195" t="s">
        <v>91</v>
      </c>
      <c r="G195" t="s">
        <v>115</v>
      </c>
    </row>
    <row r="196" spans="1:7" x14ac:dyDescent="0.55000000000000004">
      <c r="A196" t="s">
        <v>101</v>
      </c>
      <c r="B196" t="s">
        <v>103</v>
      </c>
      <c r="C196" s="14">
        <v>32000000000000</v>
      </c>
      <c r="D196">
        <v>2040</v>
      </c>
      <c r="E196" t="s">
        <v>90</v>
      </c>
      <c r="F196" t="s">
        <v>91</v>
      </c>
      <c r="G196" t="s">
        <v>115</v>
      </c>
    </row>
    <row r="197" spans="1:7" x14ac:dyDescent="0.55000000000000004">
      <c r="A197" t="s">
        <v>104</v>
      </c>
      <c r="B197" t="s">
        <v>105</v>
      </c>
      <c r="C197" s="14">
        <v>3477000000000000</v>
      </c>
      <c r="D197">
        <v>2040</v>
      </c>
      <c r="E197" t="s">
        <v>90</v>
      </c>
      <c r="F197" t="s">
        <v>91</v>
      </c>
      <c r="G197" t="s">
        <v>115</v>
      </c>
    </row>
    <row r="198" spans="1:7" x14ac:dyDescent="0.55000000000000004">
      <c r="A198" t="s">
        <v>99</v>
      </c>
      <c r="B198" t="s">
        <v>100</v>
      </c>
      <c r="C198" s="14">
        <v>7.65E+16</v>
      </c>
      <c r="D198">
        <v>2050</v>
      </c>
      <c r="E198" t="s">
        <v>90</v>
      </c>
      <c r="F198" t="s">
        <v>91</v>
      </c>
      <c r="G198" t="s">
        <v>115</v>
      </c>
    </row>
    <row r="199" spans="1:7" x14ac:dyDescent="0.55000000000000004">
      <c r="A199" t="s">
        <v>99</v>
      </c>
      <c r="B199" t="s">
        <v>114</v>
      </c>
      <c r="C199" s="14">
        <v>7.2E+16</v>
      </c>
      <c r="D199">
        <v>2050</v>
      </c>
      <c r="E199" t="s">
        <v>90</v>
      </c>
      <c r="F199" t="s">
        <v>91</v>
      </c>
      <c r="G199" t="s">
        <v>115</v>
      </c>
    </row>
    <row r="200" spans="1:7" x14ac:dyDescent="0.55000000000000004">
      <c r="A200" t="s">
        <v>101</v>
      </c>
      <c r="B200" t="s">
        <v>103</v>
      </c>
      <c r="C200" s="14">
        <v>778000000000000</v>
      </c>
      <c r="D200">
        <v>2050</v>
      </c>
      <c r="E200" t="s">
        <v>90</v>
      </c>
      <c r="F200" t="s">
        <v>91</v>
      </c>
      <c r="G200" t="s">
        <v>115</v>
      </c>
    </row>
    <row r="201" spans="1:7" x14ac:dyDescent="0.55000000000000004">
      <c r="A201" t="s">
        <v>104</v>
      </c>
      <c r="B201" t="s">
        <v>105</v>
      </c>
      <c r="C201" s="14">
        <v>2158000000000000</v>
      </c>
      <c r="D201">
        <v>2050</v>
      </c>
      <c r="E201" t="s">
        <v>90</v>
      </c>
      <c r="F201" t="s">
        <v>91</v>
      </c>
      <c r="G201" t="s">
        <v>115</v>
      </c>
    </row>
    <row r="202" spans="1:7" x14ac:dyDescent="0.55000000000000004">
      <c r="A202" t="s">
        <v>99</v>
      </c>
      <c r="B202" t="s">
        <v>100</v>
      </c>
      <c r="C202" s="14">
        <v>7.65E+16</v>
      </c>
      <c r="D202">
        <v>2060</v>
      </c>
      <c r="E202" t="s">
        <v>90</v>
      </c>
      <c r="F202" t="s">
        <v>91</v>
      </c>
      <c r="G202" t="s">
        <v>115</v>
      </c>
    </row>
    <row r="203" spans="1:7" x14ac:dyDescent="0.55000000000000004">
      <c r="A203" t="s">
        <v>99</v>
      </c>
      <c r="B203" t="s">
        <v>114</v>
      </c>
      <c r="C203" s="14">
        <v>7.2E+16</v>
      </c>
      <c r="D203">
        <v>2060</v>
      </c>
      <c r="E203" t="s">
        <v>90</v>
      </c>
      <c r="F203" t="s">
        <v>91</v>
      </c>
      <c r="G203" t="s">
        <v>115</v>
      </c>
    </row>
    <row r="204" spans="1:7" x14ac:dyDescent="0.55000000000000004">
      <c r="A204" t="s">
        <v>109</v>
      </c>
      <c r="B204" t="s">
        <v>110</v>
      </c>
      <c r="C204" s="14">
        <v>1188000000000000</v>
      </c>
      <c r="D204">
        <v>2060</v>
      </c>
      <c r="E204" t="s">
        <v>90</v>
      </c>
      <c r="F204" t="s">
        <v>91</v>
      </c>
      <c r="G204" t="s">
        <v>115</v>
      </c>
    </row>
    <row r="205" spans="1:7" x14ac:dyDescent="0.55000000000000004">
      <c r="A205" t="s">
        <v>101</v>
      </c>
      <c r="B205" t="s">
        <v>103</v>
      </c>
      <c r="C205" s="14">
        <v>2028000000000000</v>
      </c>
      <c r="D205">
        <v>2060</v>
      </c>
      <c r="E205" t="s">
        <v>90</v>
      </c>
      <c r="F205" t="s">
        <v>91</v>
      </c>
      <c r="G205" t="s">
        <v>115</v>
      </c>
    </row>
    <row r="206" spans="1:7" x14ac:dyDescent="0.55000000000000004">
      <c r="A206" t="s">
        <v>104</v>
      </c>
      <c r="B206" t="s">
        <v>105</v>
      </c>
      <c r="C206" s="14">
        <v>20000000000000</v>
      </c>
      <c r="D206">
        <v>2060</v>
      </c>
      <c r="E206" t="s">
        <v>90</v>
      </c>
      <c r="F206" t="s">
        <v>91</v>
      </c>
      <c r="G206" t="s">
        <v>115</v>
      </c>
    </row>
    <row r="207" spans="1:7" x14ac:dyDescent="0.55000000000000004">
      <c r="A207" t="s">
        <v>88</v>
      </c>
      <c r="B207" t="s">
        <v>93</v>
      </c>
      <c r="C207" s="14">
        <v>275000000000000</v>
      </c>
      <c r="D207">
        <v>2020</v>
      </c>
      <c r="E207" t="s">
        <v>111</v>
      </c>
      <c r="F207" t="s">
        <v>91</v>
      </c>
      <c r="G207" t="s">
        <v>115</v>
      </c>
    </row>
    <row r="208" spans="1:7" x14ac:dyDescent="0.55000000000000004">
      <c r="A208" t="s">
        <v>94</v>
      </c>
      <c r="B208" t="s">
        <v>96</v>
      </c>
      <c r="C208" s="14">
        <v>21000000000000</v>
      </c>
      <c r="D208">
        <v>2020</v>
      </c>
      <c r="E208" t="s">
        <v>111</v>
      </c>
      <c r="F208" t="s">
        <v>91</v>
      </c>
      <c r="G208" t="s">
        <v>115</v>
      </c>
    </row>
    <row r="209" spans="1:7" x14ac:dyDescent="0.55000000000000004">
      <c r="A209" t="s">
        <v>94</v>
      </c>
      <c r="B209" t="s">
        <v>97</v>
      </c>
      <c r="C209" s="14">
        <v>44000000000000</v>
      </c>
      <c r="D209">
        <v>2020</v>
      </c>
      <c r="E209" t="s">
        <v>111</v>
      </c>
      <c r="F209" t="s">
        <v>91</v>
      </c>
      <c r="G209" t="s">
        <v>115</v>
      </c>
    </row>
    <row r="210" spans="1:7" x14ac:dyDescent="0.55000000000000004">
      <c r="A210" t="s">
        <v>94</v>
      </c>
      <c r="B210" t="s">
        <v>98</v>
      </c>
      <c r="C210" s="14">
        <v>78000000000000</v>
      </c>
      <c r="D210">
        <v>2020</v>
      </c>
      <c r="E210" t="s">
        <v>111</v>
      </c>
      <c r="F210" t="s">
        <v>91</v>
      </c>
      <c r="G210" t="s">
        <v>115</v>
      </c>
    </row>
    <row r="211" spans="1:7" x14ac:dyDescent="0.55000000000000004">
      <c r="A211" t="s">
        <v>99</v>
      </c>
      <c r="B211" t="s">
        <v>100</v>
      </c>
      <c r="C211" s="14">
        <v>5.3E+16</v>
      </c>
      <c r="D211">
        <v>2020</v>
      </c>
      <c r="E211" t="s">
        <v>111</v>
      </c>
      <c r="F211" t="s">
        <v>91</v>
      </c>
      <c r="G211" t="s">
        <v>115</v>
      </c>
    </row>
    <row r="212" spans="1:7" x14ac:dyDescent="0.55000000000000004">
      <c r="A212" t="s">
        <v>99</v>
      </c>
      <c r="B212" t="s">
        <v>114</v>
      </c>
      <c r="C212" s="14">
        <v>6.42E+16</v>
      </c>
      <c r="D212">
        <v>2020</v>
      </c>
      <c r="E212" t="s">
        <v>111</v>
      </c>
      <c r="F212" t="s">
        <v>91</v>
      </c>
      <c r="G212" t="s">
        <v>115</v>
      </c>
    </row>
    <row r="213" spans="1:7" x14ac:dyDescent="0.55000000000000004">
      <c r="A213" t="s">
        <v>101</v>
      </c>
      <c r="B213" t="s">
        <v>103</v>
      </c>
      <c r="C213" s="14">
        <v>87000000000000</v>
      </c>
      <c r="D213">
        <v>2020</v>
      </c>
      <c r="E213" t="s">
        <v>111</v>
      </c>
      <c r="F213" t="s">
        <v>91</v>
      </c>
      <c r="G213" t="s">
        <v>115</v>
      </c>
    </row>
    <row r="214" spans="1:7" x14ac:dyDescent="0.55000000000000004">
      <c r="A214" t="s">
        <v>104</v>
      </c>
      <c r="B214" t="s">
        <v>105</v>
      </c>
      <c r="C214" s="14">
        <v>2415000000000000</v>
      </c>
      <c r="D214">
        <v>2020</v>
      </c>
      <c r="E214" t="s">
        <v>111</v>
      </c>
      <c r="F214" t="s">
        <v>91</v>
      </c>
      <c r="G214" t="s">
        <v>115</v>
      </c>
    </row>
    <row r="215" spans="1:7" x14ac:dyDescent="0.55000000000000004">
      <c r="A215" t="s">
        <v>88</v>
      </c>
      <c r="B215" t="s">
        <v>93</v>
      </c>
      <c r="C215" s="14">
        <v>190000000000000</v>
      </c>
      <c r="D215">
        <v>2030</v>
      </c>
      <c r="E215" t="s">
        <v>111</v>
      </c>
      <c r="F215" t="s">
        <v>91</v>
      </c>
      <c r="G215" t="s">
        <v>115</v>
      </c>
    </row>
    <row r="216" spans="1:7" x14ac:dyDescent="0.55000000000000004">
      <c r="A216" t="s">
        <v>94</v>
      </c>
      <c r="B216" t="s">
        <v>96</v>
      </c>
      <c r="C216" s="14">
        <v>14000000000000</v>
      </c>
      <c r="D216">
        <v>2030</v>
      </c>
      <c r="E216" t="s">
        <v>111</v>
      </c>
      <c r="F216" t="s">
        <v>91</v>
      </c>
      <c r="G216" t="s">
        <v>115</v>
      </c>
    </row>
    <row r="217" spans="1:7" x14ac:dyDescent="0.55000000000000004">
      <c r="A217" t="s">
        <v>94</v>
      </c>
      <c r="B217" t="s">
        <v>97</v>
      </c>
      <c r="C217" s="14">
        <v>26000000000000</v>
      </c>
      <c r="D217">
        <v>2030</v>
      </c>
      <c r="E217" t="s">
        <v>111</v>
      </c>
      <c r="F217" t="s">
        <v>91</v>
      </c>
      <c r="G217" t="s">
        <v>115</v>
      </c>
    </row>
    <row r="218" spans="1:7" x14ac:dyDescent="0.55000000000000004">
      <c r="A218" t="s">
        <v>94</v>
      </c>
      <c r="B218" t="s">
        <v>98</v>
      </c>
      <c r="C218" s="14">
        <v>102000000000000</v>
      </c>
      <c r="D218">
        <v>2030</v>
      </c>
      <c r="E218" t="s">
        <v>111</v>
      </c>
      <c r="F218" t="s">
        <v>91</v>
      </c>
      <c r="G218" t="s">
        <v>115</v>
      </c>
    </row>
    <row r="219" spans="1:7" x14ac:dyDescent="0.55000000000000004">
      <c r="A219" t="s">
        <v>99</v>
      </c>
      <c r="B219" t="s">
        <v>100</v>
      </c>
      <c r="C219" s="14">
        <v>6.43E+16</v>
      </c>
      <c r="D219">
        <v>2030</v>
      </c>
      <c r="E219" t="s">
        <v>111</v>
      </c>
      <c r="F219" t="s">
        <v>91</v>
      </c>
      <c r="G219" t="s">
        <v>115</v>
      </c>
    </row>
    <row r="220" spans="1:7" x14ac:dyDescent="0.55000000000000004">
      <c r="A220" t="s">
        <v>99</v>
      </c>
      <c r="B220" t="s">
        <v>114</v>
      </c>
      <c r="C220" s="14">
        <v>6.05E+16</v>
      </c>
      <c r="D220">
        <v>2030</v>
      </c>
      <c r="E220" t="s">
        <v>111</v>
      </c>
      <c r="F220" t="s">
        <v>91</v>
      </c>
      <c r="G220" t="s">
        <v>115</v>
      </c>
    </row>
    <row r="221" spans="1:7" x14ac:dyDescent="0.55000000000000004">
      <c r="A221" t="s">
        <v>101</v>
      </c>
      <c r="B221" t="s">
        <v>103</v>
      </c>
      <c r="C221" s="14">
        <v>452000000000000</v>
      </c>
      <c r="D221">
        <v>2030</v>
      </c>
      <c r="E221" t="s">
        <v>111</v>
      </c>
      <c r="F221" t="s">
        <v>91</v>
      </c>
      <c r="G221" t="s">
        <v>115</v>
      </c>
    </row>
    <row r="222" spans="1:7" x14ac:dyDescent="0.55000000000000004">
      <c r="A222" t="s">
        <v>104</v>
      </c>
      <c r="B222" t="s">
        <v>105</v>
      </c>
      <c r="C222" s="14">
        <v>5985000000000000</v>
      </c>
      <c r="D222">
        <v>2030</v>
      </c>
      <c r="E222" t="s">
        <v>111</v>
      </c>
      <c r="F222" t="s">
        <v>91</v>
      </c>
      <c r="G222" t="s">
        <v>115</v>
      </c>
    </row>
    <row r="223" spans="1:7" x14ac:dyDescent="0.55000000000000004">
      <c r="A223" t="s">
        <v>88</v>
      </c>
      <c r="B223" t="s">
        <v>93</v>
      </c>
      <c r="C223" s="14">
        <v>4794000000000000</v>
      </c>
      <c r="D223">
        <v>2040</v>
      </c>
      <c r="E223" t="s">
        <v>111</v>
      </c>
      <c r="F223" t="s">
        <v>91</v>
      </c>
      <c r="G223" t="s">
        <v>115</v>
      </c>
    </row>
    <row r="224" spans="1:7" x14ac:dyDescent="0.55000000000000004">
      <c r="A224" t="s">
        <v>94</v>
      </c>
      <c r="B224" t="s">
        <v>96</v>
      </c>
      <c r="C224" s="14">
        <v>5000000000000</v>
      </c>
      <c r="D224">
        <v>2040</v>
      </c>
      <c r="E224" t="s">
        <v>111</v>
      </c>
      <c r="F224" t="s">
        <v>91</v>
      </c>
      <c r="G224" t="s">
        <v>115</v>
      </c>
    </row>
    <row r="225" spans="1:7" x14ac:dyDescent="0.55000000000000004">
      <c r="A225" t="s">
        <v>94</v>
      </c>
      <c r="B225" t="s">
        <v>97</v>
      </c>
      <c r="C225" s="14">
        <v>9000000000000</v>
      </c>
      <c r="D225">
        <v>2040</v>
      </c>
      <c r="E225" t="s">
        <v>111</v>
      </c>
      <c r="F225" t="s">
        <v>91</v>
      </c>
      <c r="G225" t="s">
        <v>115</v>
      </c>
    </row>
    <row r="226" spans="1:7" x14ac:dyDescent="0.55000000000000004">
      <c r="A226" t="s">
        <v>94</v>
      </c>
      <c r="B226" t="s">
        <v>98</v>
      </c>
      <c r="C226" s="14">
        <v>51000000000000</v>
      </c>
      <c r="D226">
        <v>2040</v>
      </c>
      <c r="E226" t="s">
        <v>111</v>
      </c>
      <c r="F226" t="s">
        <v>91</v>
      </c>
      <c r="G226" t="s">
        <v>115</v>
      </c>
    </row>
    <row r="227" spans="1:7" x14ac:dyDescent="0.55000000000000004">
      <c r="A227" t="s">
        <v>99</v>
      </c>
      <c r="B227" t="s">
        <v>100</v>
      </c>
      <c r="C227" s="14">
        <v>7.05E+16</v>
      </c>
      <c r="D227">
        <v>2040</v>
      </c>
      <c r="E227" t="s">
        <v>111</v>
      </c>
      <c r="F227" t="s">
        <v>91</v>
      </c>
      <c r="G227" t="s">
        <v>115</v>
      </c>
    </row>
    <row r="228" spans="1:7" x14ac:dyDescent="0.55000000000000004">
      <c r="A228" t="s">
        <v>99</v>
      </c>
      <c r="B228" t="s">
        <v>114</v>
      </c>
      <c r="C228" s="14">
        <v>6.63E+16</v>
      </c>
      <c r="D228">
        <v>2040</v>
      </c>
      <c r="E228" t="s">
        <v>111</v>
      </c>
      <c r="F228" t="s">
        <v>91</v>
      </c>
      <c r="G228" t="s">
        <v>115</v>
      </c>
    </row>
    <row r="229" spans="1:7" x14ac:dyDescent="0.55000000000000004">
      <c r="A229" t="s">
        <v>101</v>
      </c>
      <c r="B229" t="s">
        <v>103</v>
      </c>
      <c r="C229" s="14">
        <v>694000000000000</v>
      </c>
      <c r="D229">
        <v>2040</v>
      </c>
      <c r="E229" t="s">
        <v>111</v>
      </c>
      <c r="F229" t="s">
        <v>91</v>
      </c>
      <c r="G229" t="s">
        <v>115</v>
      </c>
    </row>
    <row r="230" spans="1:7" x14ac:dyDescent="0.55000000000000004">
      <c r="A230" t="s">
        <v>104</v>
      </c>
      <c r="B230" t="s">
        <v>105</v>
      </c>
      <c r="C230" s="14">
        <v>3.2E+16</v>
      </c>
      <c r="D230">
        <v>2040</v>
      </c>
      <c r="E230" t="s">
        <v>111</v>
      </c>
      <c r="F230" t="s">
        <v>91</v>
      </c>
      <c r="G230" t="s">
        <v>115</v>
      </c>
    </row>
    <row r="231" spans="1:7" x14ac:dyDescent="0.55000000000000004">
      <c r="A231" t="s">
        <v>88</v>
      </c>
      <c r="B231" t="s">
        <v>93</v>
      </c>
      <c r="C231" s="14">
        <v>7443000000000000</v>
      </c>
      <c r="D231">
        <v>2050</v>
      </c>
      <c r="E231" t="s">
        <v>111</v>
      </c>
      <c r="F231" t="s">
        <v>91</v>
      </c>
      <c r="G231" t="s">
        <v>115</v>
      </c>
    </row>
    <row r="232" spans="1:7" x14ac:dyDescent="0.55000000000000004">
      <c r="A232" t="s">
        <v>99</v>
      </c>
      <c r="B232" t="s">
        <v>100</v>
      </c>
      <c r="C232" s="14">
        <v>7.65E+16</v>
      </c>
      <c r="D232">
        <v>2050</v>
      </c>
      <c r="E232" t="s">
        <v>111</v>
      </c>
      <c r="F232" t="s">
        <v>91</v>
      </c>
      <c r="G232" t="s">
        <v>115</v>
      </c>
    </row>
    <row r="233" spans="1:7" x14ac:dyDescent="0.55000000000000004">
      <c r="A233" t="s">
        <v>99</v>
      </c>
      <c r="B233" t="s">
        <v>114</v>
      </c>
      <c r="C233" s="14">
        <v>7.2E+16</v>
      </c>
      <c r="D233">
        <v>2050</v>
      </c>
      <c r="E233" t="s">
        <v>111</v>
      </c>
      <c r="F233" t="s">
        <v>91</v>
      </c>
      <c r="G233" t="s">
        <v>115</v>
      </c>
    </row>
    <row r="234" spans="1:7" x14ac:dyDescent="0.55000000000000004">
      <c r="A234" t="s">
        <v>101</v>
      </c>
      <c r="B234" t="s">
        <v>103</v>
      </c>
      <c r="C234" s="14">
        <v>1487000000000000</v>
      </c>
      <c r="D234">
        <v>2050</v>
      </c>
      <c r="E234" t="s">
        <v>111</v>
      </c>
      <c r="F234" t="s">
        <v>91</v>
      </c>
      <c r="G234" t="s">
        <v>115</v>
      </c>
    </row>
    <row r="235" spans="1:7" x14ac:dyDescent="0.55000000000000004">
      <c r="A235" t="s">
        <v>104</v>
      </c>
      <c r="B235" t="s">
        <v>105</v>
      </c>
      <c r="C235" s="14">
        <v>9.58E+16</v>
      </c>
      <c r="D235">
        <v>2050</v>
      </c>
      <c r="E235" t="s">
        <v>111</v>
      </c>
      <c r="F235" t="s">
        <v>91</v>
      </c>
      <c r="G235" t="s">
        <v>115</v>
      </c>
    </row>
    <row r="236" spans="1:7" x14ac:dyDescent="0.55000000000000004">
      <c r="A236" t="s">
        <v>88</v>
      </c>
      <c r="B236" t="s">
        <v>93</v>
      </c>
      <c r="C236" s="14">
        <v>7443000000000000</v>
      </c>
      <c r="D236">
        <v>2060</v>
      </c>
      <c r="E236" t="s">
        <v>111</v>
      </c>
      <c r="F236" t="s">
        <v>91</v>
      </c>
      <c r="G236" t="s">
        <v>115</v>
      </c>
    </row>
    <row r="237" spans="1:7" x14ac:dyDescent="0.55000000000000004">
      <c r="A237" t="s">
        <v>99</v>
      </c>
      <c r="B237" t="s">
        <v>100</v>
      </c>
      <c r="C237" s="14">
        <v>7.65E+16</v>
      </c>
      <c r="D237">
        <v>2060</v>
      </c>
      <c r="E237" t="s">
        <v>111</v>
      </c>
      <c r="F237" t="s">
        <v>91</v>
      </c>
      <c r="G237" t="s">
        <v>115</v>
      </c>
    </row>
    <row r="238" spans="1:7" x14ac:dyDescent="0.55000000000000004">
      <c r="A238" t="s">
        <v>99</v>
      </c>
      <c r="B238" t="s">
        <v>114</v>
      </c>
      <c r="C238" s="14">
        <v>7.2E+16</v>
      </c>
      <c r="D238">
        <v>2060</v>
      </c>
      <c r="E238" t="s">
        <v>111</v>
      </c>
      <c r="F238" t="s">
        <v>91</v>
      </c>
      <c r="G238" t="s">
        <v>115</v>
      </c>
    </row>
    <row r="239" spans="1:7" x14ac:dyDescent="0.55000000000000004">
      <c r="A239" t="s">
        <v>101</v>
      </c>
      <c r="B239" t="s">
        <v>103</v>
      </c>
      <c r="C239" s="14">
        <v>2028000000000000</v>
      </c>
      <c r="D239">
        <v>2060</v>
      </c>
      <c r="E239" t="s">
        <v>111</v>
      </c>
      <c r="F239" t="s">
        <v>91</v>
      </c>
      <c r="G239" t="s">
        <v>115</v>
      </c>
    </row>
    <row r="240" spans="1:7" x14ac:dyDescent="0.55000000000000004">
      <c r="A240" t="s">
        <v>104</v>
      </c>
      <c r="B240" t="s">
        <v>105</v>
      </c>
      <c r="C240" s="14">
        <v>1.07E+17</v>
      </c>
      <c r="D240">
        <v>2060</v>
      </c>
      <c r="E240" t="s">
        <v>111</v>
      </c>
      <c r="F240" t="s">
        <v>91</v>
      </c>
      <c r="G240" t="s">
        <v>115</v>
      </c>
    </row>
    <row r="241" spans="1:7" x14ac:dyDescent="0.55000000000000004">
      <c r="A241" t="s">
        <v>99</v>
      </c>
      <c r="B241" t="s">
        <v>100</v>
      </c>
      <c r="C241" s="14">
        <v>1.07E+16</v>
      </c>
      <c r="D241">
        <v>2020</v>
      </c>
      <c r="E241" t="s">
        <v>90</v>
      </c>
      <c r="F241" t="s">
        <v>91</v>
      </c>
      <c r="G241" t="s">
        <v>116</v>
      </c>
    </row>
    <row r="242" spans="1:7" x14ac:dyDescent="0.55000000000000004">
      <c r="A242" t="s">
        <v>109</v>
      </c>
      <c r="B242" t="s">
        <v>117</v>
      </c>
      <c r="C242" s="14">
        <v>1.47E+16</v>
      </c>
      <c r="D242">
        <v>2020</v>
      </c>
      <c r="E242" t="s">
        <v>90</v>
      </c>
      <c r="F242" t="s">
        <v>91</v>
      </c>
      <c r="G242" t="s">
        <v>116</v>
      </c>
    </row>
    <row r="243" spans="1:7" x14ac:dyDescent="0.55000000000000004">
      <c r="A243" t="s">
        <v>101</v>
      </c>
      <c r="B243" t="s">
        <v>103</v>
      </c>
      <c r="C243" s="14">
        <v>5000000000000</v>
      </c>
      <c r="D243">
        <v>2020</v>
      </c>
      <c r="E243" t="s">
        <v>90</v>
      </c>
      <c r="F243" t="s">
        <v>91</v>
      </c>
      <c r="G243" t="s">
        <v>116</v>
      </c>
    </row>
    <row r="244" spans="1:7" x14ac:dyDescent="0.55000000000000004">
      <c r="A244" t="s">
        <v>104</v>
      </c>
      <c r="B244" t="s">
        <v>105</v>
      </c>
      <c r="C244" s="14">
        <v>3402000000000000</v>
      </c>
      <c r="D244">
        <v>2020</v>
      </c>
      <c r="E244" t="s">
        <v>90</v>
      </c>
      <c r="F244" t="s">
        <v>91</v>
      </c>
      <c r="G244" t="s">
        <v>116</v>
      </c>
    </row>
    <row r="245" spans="1:7" x14ac:dyDescent="0.55000000000000004">
      <c r="A245" t="s">
        <v>99</v>
      </c>
      <c r="B245" t="s">
        <v>100</v>
      </c>
      <c r="C245" s="14">
        <v>1.11E+16</v>
      </c>
      <c r="D245">
        <v>2030</v>
      </c>
      <c r="E245" t="s">
        <v>90</v>
      </c>
      <c r="F245" t="s">
        <v>91</v>
      </c>
      <c r="G245" t="s">
        <v>116</v>
      </c>
    </row>
    <row r="246" spans="1:7" x14ac:dyDescent="0.55000000000000004">
      <c r="A246" t="s">
        <v>109</v>
      </c>
      <c r="B246" t="s">
        <v>117</v>
      </c>
      <c r="C246" s="14">
        <v>1.8E+16</v>
      </c>
      <c r="D246">
        <v>2030</v>
      </c>
      <c r="E246" t="s">
        <v>90</v>
      </c>
      <c r="F246" t="s">
        <v>91</v>
      </c>
      <c r="G246" t="s">
        <v>116</v>
      </c>
    </row>
    <row r="247" spans="1:7" x14ac:dyDescent="0.55000000000000004">
      <c r="A247" t="s">
        <v>101</v>
      </c>
      <c r="B247" t="s">
        <v>103</v>
      </c>
      <c r="C247" s="14">
        <v>4000000000000</v>
      </c>
      <c r="D247">
        <v>2030</v>
      </c>
      <c r="E247" t="s">
        <v>90</v>
      </c>
      <c r="F247" t="s">
        <v>91</v>
      </c>
      <c r="G247" t="s">
        <v>116</v>
      </c>
    </row>
    <row r="248" spans="1:7" x14ac:dyDescent="0.55000000000000004">
      <c r="A248" t="s">
        <v>104</v>
      </c>
      <c r="B248" t="s">
        <v>105</v>
      </c>
      <c r="C248" s="14">
        <v>3858000000000000</v>
      </c>
      <c r="D248">
        <v>2030</v>
      </c>
      <c r="E248" t="s">
        <v>90</v>
      </c>
      <c r="F248" t="s">
        <v>91</v>
      </c>
      <c r="G248" t="s">
        <v>116</v>
      </c>
    </row>
    <row r="249" spans="1:7" x14ac:dyDescent="0.55000000000000004">
      <c r="A249" t="s">
        <v>88</v>
      </c>
      <c r="B249" t="s">
        <v>89</v>
      </c>
      <c r="C249" s="14">
        <v>33000000000000</v>
      </c>
      <c r="D249">
        <v>2040</v>
      </c>
      <c r="E249" t="s">
        <v>90</v>
      </c>
      <c r="F249" t="s">
        <v>91</v>
      </c>
      <c r="G249" t="s">
        <v>116</v>
      </c>
    </row>
    <row r="250" spans="1:7" x14ac:dyDescent="0.55000000000000004">
      <c r="A250" t="s">
        <v>88</v>
      </c>
      <c r="B250" t="s">
        <v>93</v>
      </c>
      <c r="C250" s="14">
        <v>2906000000000000</v>
      </c>
      <c r="D250">
        <v>2040</v>
      </c>
      <c r="E250" t="s">
        <v>90</v>
      </c>
      <c r="F250" t="s">
        <v>91</v>
      </c>
      <c r="G250" t="s">
        <v>116</v>
      </c>
    </row>
    <row r="251" spans="1:7" x14ac:dyDescent="0.55000000000000004">
      <c r="A251" t="s">
        <v>99</v>
      </c>
      <c r="B251" t="s">
        <v>100</v>
      </c>
      <c r="C251" s="14">
        <v>1.16E+16</v>
      </c>
      <c r="D251">
        <v>2040</v>
      </c>
      <c r="E251" t="s">
        <v>90</v>
      </c>
      <c r="F251" t="s">
        <v>91</v>
      </c>
      <c r="G251" t="s">
        <v>116</v>
      </c>
    </row>
    <row r="252" spans="1:7" x14ac:dyDescent="0.55000000000000004">
      <c r="A252" t="s">
        <v>109</v>
      </c>
      <c r="B252" t="s">
        <v>117</v>
      </c>
      <c r="C252" s="14">
        <v>1.82E+16</v>
      </c>
      <c r="D252">
        <v>2040</v>
      </c>
      <c r="E252" t="s">
        <v>90</v>
      </c>
      <c r="F252" t="s">
        <v>91</v>
      </c>
      <c r="G252" t="s">
        <v>116</v>
      </c>
    </row>
    <row r="253" spans="1:7" x14ac:dyDescent="0.55000000000000004">
      <c r="A253" t="s">
        <v>101</v>
      </c>
      <c r="B253" t="s">
        <v>103</v>
      </c>
      <c r="C253" s="14">
        <v>2000000000000</v>
      </c>
      <c r="D253">
        <v>2040</v>
      </c>
      <c r="E253" t="s">
        <v>90</v>
      </c>
      <c r="F253" t="s">
        <v>91</v>
      </c>
      <c r="G253" t="s">
        <v>116</v>
      </c>
    </row>
    <row r="254" spans="1:7" x14ac:dyDescent="0.55000000000000004">
      <c r="A254" t="s">
        <v>104</v>
      </c>
      <c r="B254" t="s">
        <v>105</v>
      </c>
      <c r="C254" s="14">
        <v>3759000000000000</v>
      </c>
      <c r="D254">
        <v>2040</v>
      </c>
      <c r="E254" t="s">
        <v>90</v>
      </c>
      <c r="F254" t="s">
        <v>91</v>
      </c>
      <c r="G254" t="s">
        <v>116</v>
      </c>
    </row>
    <row r="255" spans="1:7" x14ac:dyDescent="0.55000000000000004">
      <c r="A255" t="s">
        <v>88</v>
      </c>
      <c r="B255" t="s">
        <v>89</v>
      </c>
      <c r="C255" s="14">
        <v>33000000000000</v>
      </c>
      <c r="D255">
        <v>2050</v>
      </c>
      <c r="E255" t="s">
        <v>90</v>
      </c>
      <c r="F255" t="s">
        <v>91</v>
      </c>
      <c r="G255" t="s">
        <v>116</v>
      </c>
    </row>
    <row r="256" spans="1:7" x14ac:dyDescent="0.55000000000000004">
      <c r="A256" t="s">
        <v>88</v>
      </c>
      <c r="B256" t="s">
        <v>93</v>
      </c>
      <c r="C256" s="14">
        <v>3323000000000000</v>
      </c>
      <c r="D256">
        <v>2050</v>
      </c>
      <c r="E256" t="s">
        <v>90</v>
      </c>
      <c r="F256" t="s">
        <v>91</v>
      </c>
      <c r="G256" t="s">
        <v>116</v>
      </c>
    </row>
    <row r="257" spans="1:7" x14ac:dyDescent="0.55000000000000004">
      <c r="A257" t="s">
        <v>94</v>
      </c>
      <c r="B257" t="s">
        <v>98</v>
      </c>
      <c r="C257" s="14">
        <v>339000000000000</v>
      </c>
      <c r="D257">
        <v>2050</v>
      </c>
      <c r="E257" t="s">
        <v>90</v>
      </c>
      <c r="F257" t="s">
        <v>91</v>
      </c>
      <c r="G257" t="s">
        <v>116</v>
      </c>
    </row>
    <row r="258" spans="1:7" x14ac:dyDescent="0.55000000000000004">
      <c r="A258" t="s">
        <v>99</v>
      </c>
      <c r="B258" t="s">
        <v>100</v>
      </c>
      <c r="C258" s="14">
        <v>1.21E+16</v>
      </c>
      <c r="D258">
        <v>2050</v>
      </c>
      <c r="E258" t="s">
        <v>90</v>
      </c>
      <c r="F258" t="s">
        <v>91</v>
      </c>
      <c r="G258" t="s">
        <v>116</v>
      </c>
    </row>
    <row r="259" spans="1:7" x14ac:dyDescent="0.55000000000000004">
      <c r="A259" t="s">
        <v>101</v>
      </c>
      <c r="B259" t="s">
        <v>103</v>
      </c>
      <c r="C259" s="14">
        <v>600000000000000</v>
      </c>
      <c r="D259">
        <v>2050</v>
      </c>
      <c r="E259" t="s">
        <v>90</v>
      </c>
      <c r="F259" t="s">
        <v>91</v>
      </c>
      <c r="G259" t="s">
        <v>116</v>
      </c>
    </row>
    <row r="260" spans="1:7" x14ac:dyDescent="0.55000000000000004">
      <c r="A260" t="s">
        <v>104</v>
      </c>
      <c r="B260" t="s">
        <v>105</v>
      </c>
      <c r="C260" s="14">
        <v>2.87E+16</v>
      </c>
      <c r="D260">
        <v>2050</v>
      </c>
      <c r="E260" t="s">
        <v>90</v>
      </c>
      <c r="F260" t="s">
        <v>91</v>
      </c>
      <c r="G260" t="s">
        <v>116</v>
      </c>
    </row>
    <row r="261" spans="1:7" x14ac:dyDescent="0.55000000000000004">
      <c r="A261" t="s">
        <v>88</v>
      </c>
      <c r="B261" t="s">
        <v>89</v>
      </c>
      <c r="C261" s="14">
        <v>71000000000000</v>
      </c>
      <c r="D261">
        <v>2060</v>
      </c>
      <c r="E261" t="s">
        <v>90</v>
      </c>
      <c r="F261" t="s">
        <v>91</v>
      </c>
      <c r="G261" t="s">
        <v>116</v>
      </c>
    </row>
    <row r="262" spans="1:7" x14ac:dyDescent="0.55000000000000004">
      <c r="A262" t="s">
        <v>99</v>
      </c>
      <c r="B262" t="s">
        <v>100</v>
      </c>
      <c r="C262" s="14">
        <v>1.21E+16</v>
      </c>
      <c r="D262">
        <v>2060</v>
      </c>
      <c r="E262" t="s">
        <v>90</v>
      </c>
      <c r="F262" t="s">
        <v>91</v>
      </c>
      <c r="G262" t="s">
        <v>116</v>
      </c>
    </row>
    <row r="263" spans="1:7" x14ac:dyDescent="0.55000000000000004">
      <c r="A263" t="s">
        <v>101</v>
      </c>
      <c r="B263" t="s">
        <v>103</v>
      </c>
      <c r="C263" s="14">
        <v>600000000000000</v>
      </c>
      <c r="D263">
        <v>2060</v>
      </c>
      <c r="E263" t="s">
        <v>90</v>
      </c>
      <c r="F263" t="s">
        <v>91</v>
      </c>
      <c r="G263" t="s">
        <v>116</v>
      </c>
    </row>
    <row r="264" spans="1:7" x14ac:dyDescent="0.55000000000000004">
      <c r="A264" t="s">
        <v>104</v>
      </c>
      <c r="B264" t="s">
        <v>105</v>
      </c>
      <c r="C264" s="14">
        <v>3.91E+16</v>
      </c>
      <c r="D264">
        <v>2060</v>
      </c>
      <c r="E264" t="s">
        <v>90</v>
      </c>
      <c r="F264" t="s">
        <v>91</v>
      </c>
      <c r="G264" t="s">
        <v>116</v>
      </c>
    </row>
    <row r="265" spans="1:7" x14ac:dyDescent="0.55000000000000004">
      <c r="A265" t="s">
        <v>94</v>
      </c>
      <c r="B265" t="s">
        <v>95</v>
      </c>
      <c r="C265" s="14">
        <v>4256000000000000</v>
      </c>
      <c r="D265">
        <v>2020</v>
      </c>
      <c r="E265" t="s">
        <v>111</v>
      </c>
      <c r="F265" t="s">
        <v>91</v>
      </c>
      <c r="G265" t="s">
        <v>116</v>
      </c>
    </row>
    <row r="266" spans="1:7" x14ac:dyDescent="0.55000000000000004">
      <c r="A266" t="s">
        <v>99</v>
      </c>
      <c r="B266" t="s">
        <v>100</v>
      </c>
      <c r="C266" s="14">
        <v>1.07E+16</v>
      </c>
      <c r="D266">
        <v>2020</v>
      </c>
      <c r="E266" t="s">
        <v>111</v>
      </c>
      <c r="F266" t="s">
        <v>91</v>
      </c>
      <c r="G266" t="s">
        <v>116</v>
      </c>
    </row>
    <row r="267" spans="1:7" x14ac:dyDescent="0.55000000000000004">
      <c r="A267" t="s">
        <v>109</v>
      </c>
      <c r="B267" t="s">
        <v>117</v>
      </c>
      <c r="C267" s="14">
        <v>2270000000000000</v>
      </c>
      <c r="D267">
        <v>2020</v>
      </c>
      <c r="E267" t="s">
        <v>111</v>
      </c>
      <c r="F267" t="s">
        <v>91</v>
      </c>
      <c r="G267" t="s">
        <v>116</v>
      </c>
    </row>
    <row r="268" spans="1:7" x14ac:dyDescent="0.55000000000000004">
      <c r="A268" t="s">
        <v>101</v>
      </c>
      <c r="B268" t="s">
        <v>103</v>
      </c>
      <c r="C268" s="14">
        <v>5000000000000</v>
      </c>
      <c r="D268">
        <v>2020</v>
      </c>
      <c r="E268" t="s">
        <v>111</v>
      </c>
      <c r="F268" t="s">
        <v>91</v>
      </c>
      <c r="G268" t="s">
        <v>116</v>
      </c>
    </row>
    <row r="269" spans="1:7" x14ac:dyDescent="0.55000000000000004">
      <c r="A269" t="s">
        <v>104</v>
      </c>
      <c r="B269" t="s">
        <v>105</v>
      </c>
      <c r="C269" s="14">
        <v>3402000000000000</v>
      </c>
      <c r="D269">
        <v>2020</v>
      </c>
      <c r="E269" t="s">
        <v>111</v>
      </c>
      <c r="F269" t="s">
        <v>91</v>
      </c>
      <c r="G269" t="s">
        <v>116</v>
      </c>
    </row>
    <row r="270" spans="1:7" x14ac:dyDescent="0.55000000000000004">
      <c r="A270" t="s">
        <v>94</v>
      </c>
      <c r="B270" t="s">
        <v>98</v>
      </c>
      <c r="C270" s="14">
        <v>785000000000000</v>
      </c>
      <c r="D270">
        <v>2030</v>
      </c>
      <c r="E270" t="s">
        <v>111</v>
      </c>
      <c r="F270" t="s">
        <v>91</v>
      </c>
      <c r="G270" t="s">
        <v>116</v>
      </c>
    </row>
    <row r="271" spans="1:7" x14ac:dyDescent="0.55000000000000004">
      <c r="A271" t="s">
        <v>99</v>
      </c>
      <c r="B271" t="s">
        <v>100</v>
      </c>
      <c r="C271" s="14">
        <v>1.11E+16</v>
      </c>
      <c r="D271">
        <v>2030</v>
      </c>
      <c r="E271" t="s">
        <v>111</v>
      </c>
      <c r="F271" t="s">
        <v>91</v>
      </c>
      <c r="G271" t="s">
        <v>116</v>
      </c>
    </row>
    <row r="272" spans="1:7" x14ac:dyDescent="0.55000000000000004">
      <c r="A272" t="s">
        <v>109</v>
      </c>
      <c r="B272" t="s">
        <v>117</v>
      </c>
      <c r="C272" s="14">
        <v>1.8E+16</v>
      </c>
      <c r="D272">
        <v>2030</v>
      </c>
      <c r="E272" t="s">
        <v>111</v>
      </c>
      <c r="F272" t="s">
        <v>91</v>
      </c>
      <c r="G272" t="s">
        <v>116</v>
      </c>
    </row>
    <row r="273" spans="1:7" x14ac:dyDescent="0.55000000000000004">
      <c r="A273" t="s">
        <v>101</v>
      </c>
      <c r="B273" t="s">
        <v>103</v>
      </c>
      <c r="C273" s="14">
        <v>167000000000000</v>
      </c>
      <c r="D273">
        <v>2030</v>
      </c>
      <c r="E273" t="s">
        <v>111</v>
      </c>
      <c r="F273" t="s">
        <v>91</v>
      </c>
      <c r="G273" t="s">
        <v>116</v>
      </c>
    </row>
    <row r="274" spans="1:7" x14ac:dyDescent="0.55000000000000004">
      <c r="A274" t="s">
        <v>104</v>
      </c>
      <c r="B274" t="s">
        <v>105</v>
      </c>
      <c r="C274" s="14">
        <v>8520000000000000</v>
      </c>
      <c r="D274">
        <v>2030</v>
      </c>
      <c r="E274" t="s">
        <v>111</v>
      </c>
      <c r="F274" t="s">
        <v>91</v>
      </c>
      <c r="G274" t="s">
        <v>116</v>
      </c>
    </row>
    <row r="275" spans="1:7" x14ac:dyDescent="0.55000000000000004">
      <c r="A275" t="s">
        <v>88</v>
      </c>
      <c r="B275" t="s">
        <v>93</v>
      </c>
      <c r="C275" s="14">
        <v>159000000000000</v>
      </c>
      <c r="D275">
        <v>2040</v>
      </c>
      <c r="E275" t="s">
        <v>111</v>
      </c>
      <c r="F275" t="s">
        <v>91</v>
      </c>
      <c r="G275" t="s">
        <v>116</v>
      </c>
    </row>
    <row r="276" spans="1:7" x14ac:dyDescent="0.55000000000000004">
      <c r="A276" t="s">
        <v>94</v>
      </c>
      <c r="B276" t="s">
        <v>98</v>
      </c>
      <c r="C276" s="14">
        <v>785000000000000</v>
      </c>
      <c r="D276">
        <v>2040</v>
      </c>
      <c r="E276" t="s">
        <v>111</v>
      </c>
      <c r="F276" t="s">
        <v>91</v>
      </c>
      <c r="G276" t="s">
        <v>116</v>
      </c>
    </row>
    <row r="277" spans="1:7" x14ac:dyDescent="0.55000000000000004">
      <c r="A277" t="s">
        <v>99</v>
      </c>
      <c r="B277" t="s">
        <v>100</v>
      </c>
      <c r="C277" s="14">
        <v>1.16E+16</v>
      </c>
      <c r="D277">
        <v>2040</v>
      </c>
      <c r="E277" t="s">
        <v>111</v>
      </c>
      <c r="F277" t="s">
        <v>91</v>
      </c>
      <c r="G277" t="s">
        <v>116</v>
      </c>
    </row>
    <row r="278" spans="1:7" x14ac:dyDescent="0.55000000000000004">
      <c r="A278" t="s">
        <v>109</v>
      </c>
      <c r="B278" t="s">
        <v>117</v>
      </c>
      <c r="C278" s="14">
        <v>1.82E+16</v>
      </c>
      <c r="D278">
        <v>2040</v>
      </c>
      <c r="E278" t="s">
        <v>111</v>
      </c>
      <c r="F278" t="s">
        <v>91</v>
      </c>
      <c r="G278" t="s">
        <v>116</v>
      </c>
    </row>
    <row r="279" spans="1:7" x14ac:dyDescent="0.55000000000000004">
      <c r="A279" t="s">
        <v>101</v>
      </c>
      <c r="B279" t="s">
        <v>103</v>
      </c>
      <c r="C279" s="14">
        <v>274000000000000</v>
      </c>
      <c r="D279">
        <v>2040</v>
      </c>
      <c r="E279" t="s">
        <v>111</v>
      </c>
      <c r="F279" t="s">
        <v>91</v>
      </c>
      <c r="G279" t="s">
        <v>116</v>
      </c>
    </row>
    <row r="280" spans="1:7" x14ac:dyDescent="0.55000000000000004">
      <c r="A280" t="s">
        <v>104</v>
      </c>
      <c r="B280" t="s">
        <v>105</v>
      </c>
      <c r="C280" s="14">
        <v>3.53E+16</v>
      </c>
      <c r="D280">
        <v>2040</v>
      </c>
      <c r="E280" t="s">
        <v>111</v>
      </c>
      <c r="F280" t="s">
        <v>91</v>
      </c>
      <c r="G280" t="s">
        <v>116</v>
      </c>
    </row>
    <row r="281" spans="1:7" x14ac:dyDescent="0.55000000000000004">
      <c r="A281" t="s">
        <v>88</v>
      </c>
      <c r="B281" t="s">
        <v>93</v>
      </c>
      <c r="C281" s="14">
        <v>794000000000000</v>
      </c>
      <c r="D281">
        <v>2050</v>
      </c>
      <c r="E281" t="s">
        <v>111</v>
      </c>
      <c r="F281" t="s">
        <v>91</v>
      </c>
      <c r="G281" t="s">
        <v>116</v>
      </c>
    </row>
    <row r="282" spans="1:7" x14ac:dyDescent="0.55000000000000004">
      <c r="A282" t="s">
        <v>94</v>
      </c>
      <c r="B282" t="s">
        <v>98</v>
      </c>
      <c r="C282" s="14">
        <v>340000000000000</v>
      </c>
      <c r="D282">
        <v>2050</v>
      </c>
      <c r="E282" t="s">
        <v>111</v>
      </c>
      <c r="F282" t="s">
        <v>91</v>
      </c>
      <c r="G282" t="s">
        <v>116</v>
      </c>
    </row>
    <row r="283" spans="1:7" x14ac:dyDescent="0.55000000000000004">
      <c r="A283" t="s">
        <v>99</v>
      </c>
      <c r="B283" t="s">
        <v>100</v>
      </c>
      <c r="C283" s="14">
        <v>1.21E+16</v>
      </c>
      <c r="D283">
        <v>2050</v>
      </c>
      <c r="E283" t="s">
        <v>111</v>
      </c>
      <c r="F283" t="s">
        <v>91</v>
      </c>
      <c r="G283" t="s">
        <v>116</v>
      </c>
    </row>
    <row r="284" spans="1:7" x14ac:dyDescent="0.55000000000000004">
      <c r="A284" t="s">
        <v>101</v>
      </c>
      <c r="B284" t="s">
        <v>103</v>
      </c>
      <c r="C284" s="14">
        <v>600000000000000</v>
      </c>
      <c r="D284">
        <v>2050</v>
      </c>
      <c r="E284" t="s">
        <v>111</v>
      </c>
      <c r="F284" t="s">
        <v>91</v>
      </c>
      <c r="G284" t="s">
        <v>116</v>
      </c>
    </row>
    <row r="285" spans="1:7" x14ac:dyDescent="0.55000000000000004">
      <c r="A285" t="s">
        <v>104</v>
      </c>
      <c r="B285" t="s">
        <v>105</v>
      </c>
      <c r="C285" s="14">
        <v>6.96E+16</v>
      </c>
      <c r="D285">
        <v>2050</v>
      </c>
      <c r="E285" t="s">
        <v>111</v>
      </c>
      <c r="F285" t="s">
        <v>91</v>
      </c>
      <c r="G285" t="s">
        <v>116</v>
      </c>
    </row>
    <row r="286" spans="1:7" x14ac:dyDescent="0.55000000000000004">
      <c r="A286" t="s">
        <v>88</v>
      </c>
      <c r="B286" t="s">
        <v>93</v>
      </c>
      <c r="C286" s="14">
        <v>662000000000000</v>
      </c>
      <c r="D286">
        <v>2060</v>
      </c>
      <c r="E286" t="s">
        <v>111</v>
      </c>
      <c r="F286" t="s">
        <v>91</v>
      </c>
      <c r="G286" t="s">
        <v>116</v>
      </c>
    </row>
    <row r="287" spans="1:7" x14ac:dyDescent="0.55000000000000004">
      <c r="A287" t="s">
        <v>94</v>
      </c>
      <c r="B287" t="s">
        <v>98</v>
      </c>
      <c r="C287" s="14">
        <v>448000000000000</v>
      </c>
      <c r="D287">
        <v>2060</v>
      </c>
      <c r="E287" t="s">
        <v>111</v>
      </c>
      <c r="F287" t="s">
        <v>91</v>
      </c>
      <c r="G287" t="s">
        <v>116</v>
      </c>
    </row>
    <row r="288" spans="1:7" x14ac:dyDescent="0.55000000000000004">
      <c r="A288" t="s">
        <v>99</v>
      </c>
      <c r="B288" t="s">
        <v>100</v>
      </c>
      <c r="C288" s="14">
        <v>1.21E+16</v>
      </c>
      <c r="D288">
        <v>2060</v>
      </c>
      <c r="E288" t="s">
        <v>111</v>
      </c>
      <c r="F288" t="s">
        <v>91</v>
      </c>
      <c r="G288" t="s">
        <v>116</v>
      </c>
    </row>
    <row r="289" spans="1:7" x14ac:dyDescent="0.55000000000000004">
      <c r="A289" t="s">
        <v>109</v>
      </c>
      <c r="B289" t="s">
        <v>110</v>
      </c>
      <c r="C289" s="14">
        <v>1.06E+16</v>
      </c>
      <c r="D289">
        <v>2060</v>
      </c>
      <c r="E289" t="s">
        <v>111</v>
      </c>
      <c r="F289" t="s">
        <v>91</v>
      </c>
      <c r="G289" t="s">
        <v>116</v>
      </c>
    </row>
    <row r="290" spans="1:7" x14ac:dyDescent="0.55000000000000004">
      <c r="A290" t="s">
        <v>101</v>
      </c>
      <c r="B290" t="s">
        <v>103</v>
      </c>
      <c r="C290" s="14">
        <v>818000000000000</v>
      </c>
      <c r="D290">
        <v>2060</v>
      </c>
      <c r="E290" t="s">
        <v>111</v>
      </c>
      <c r="F290" t="s">
        <v>91</v>
      </c>
      <c r="G290" t="s">
        <v>116</v>
      </c>
    </row>
    <row r="291" spans="1:7" x14ac:dyDescent="0.55000000000000004">
      <c r="A291" t="s">
        <v>104</v>
      </c>
      <c r="B291" t="s">
        <v>105</v>
      </c>
      <c r="C291" s="14">
        <v>6.93E+16</v>
      </c>
      <c r="D291">
        <v>2060</v>
      </c>
      <c r="E291" t="s">
        <v>111</v>
      </c>
      <c r="F291" t="s">
        <v>91</v>
      </c>
      <c r="G291" t="s">
        <v>116</v>
      </c>
    </row>
    <row r="292" spans="1:7" x14ac:dyDescent="0.55000000000000004">
      <c r="A292" t="s">
        <v>88</v>
      </c>
      <c r="B292" t="s">
        <v>93</v>
      </c>
      <c r="C292" s="14">
        <v>88000000000000</v>
      </c>
      <c r="D292">
        <v>2020</v>
      </c>
      <c r="E292" t="s">
        <v>90</v>
      </c>
      <c r="F292" t="s">
        <v>91</v>
      </c>
      <c r="G292" t="s">
        <v>118</v>
      </c>
    </row>
    <row r="293" spans="1:7" x14ac:dyDescent="0.55000000000000004">
      <c r="A293" t="s">
        <v>94</v>
      </c>
      <c r="B293" t="s">
        <v>96</v>
      </c>
      <c r="C293" s="14">
        <v>2709000000000000</v>
      </c>
      <c r="D293">
        <v>2020</v>
      </c>
      <c r="E293" t="s">
        <v>90</v>
      </c>
      <c r="F293" t="s">
        <v>91</v>
      </c>
      <c r="G293" t="s">
        <v>118</v>
      </c>
    </row>
    <row r="294" spans="1:7" x14ac:dyDescent="0.55000000000000004">
      <c r="A294" t="s">
        <v>94</v>
      </c>
      <c r="B294" t="s">
        <v>97</v>
      </c>
      <c r="C294" s="14">
        <v>365000000000000</v>
      </c>
      <c r="D294">
        <v>2020</v>
      </c>
      <c r="E294" t="s">
        <v>90</v>
      </c>
      <c r="F294" t="s">
        <v>91</v>
      </c>
      <c r="G294" t="s">
        <v>118</v>
      </c>
    </row>
    <row r="295" spans="1:7" x14ac:dyDescent="0.55000000000000004">
      <c r="A295" t="s">
        <v>94</v>
      </c>
      <c r="B295" t="s">
        <v>98</v>
      </c>
      <c r="C295" s="14">
        <v>662000000000000</v>
      </c>
      <c r="D295">
        <v>2020</v>
      </c>
      <c r="E295" t="s">
        <v>90</v>
      </c>
      <c r="F295" t="s">
        <v>91</v>
      </c>
      <c r="G295" t="s">
        <v>118</v>
      </c>
    </row>
    <row r="296" spans="1:7" x14ac:dyDescent="0.55000000000000004">
      <c r="A296" t="s">
        <v>99</v>
      </c>
      <c r="B296" t="s">
        <v>100</v>
      </c>
      <c r="C296" s="14">
        <v>1.65E+17</v>
      </c>
      <c r="D296">
        <v>2020</v>
      </c>
      <c r="E296" t="s">
        <v>90</v>
      </c>
      <c r="F296" t="s">
        <v>91</v>
      </c>
      <c r="G296" t="s">
        <v>118</v>
      </c>
    </row>
    <row r="297" spans="1:7" x14ac:dyDescent="0.55000000000000004">
      <c r="A297" t="s">
        <v>106</v>
      </c>
      <c r="B297" t="s">
        <v>107</v>
      </c>
      <c r="C297" s="14">
        <v>2000000000000</v>
      </c>
      <c r="D297">
        <v>2020</v>
      </c>
      <c r="E297" t="s">
        <v>90</v>
      </c>
      <c r="F297" t="s">
        <v>91</v>
      </c>
      <c r="G297" t="s">
        <v>118</v>
      </c>
    </row>
    <row r="298" spans="1:7" x14ac:dyDescent="0.55000000000000004">
      <c r="A298" t="s">
        <v>101</v>
      </c>
      <c r="B298" t="s">
        <v>103</v>
      </c>
      <c r="D298">
        <v>2020</v>
      </c>
      <c r="E298" t="s">
        <v>90</v>
      </c>
      <c r="F298" t="s">
        <v>91</v>
      </c>
      <c r="G298" t="s">
        <v>118</v>
      </c>
    </row>
    <row r="299" spans="1:7" x14ac:dyDescent="0.55000000000000004">
      <c r="A299" t="s">
        <v>104</v>
      </c>
      <c r="B299" t="s">
        <v>105</v>
      </c>
      <c r="C299" s="14">
        <v>459000000000000</v>
      </c>
      <c r="D299">
        <v>2020</v>
      </c>
      <c r="E299" t="s">
        <v>90</v>
      </c>
      <c r="F299" t="s">
        <v>91</v>
      </c>
      <c r="G299" t="s">
        <v>118</v>
      </c>
    </row>
    <row r="300" spans="1:7" x14ac:dyDescent="0.55000000000000004">
      <c r="A300" t="s">
        <v>88</v>
      </c>
      <c r="B300" t="s">
        <v>93</v>
      </c>
      <c r="C300" s="14">
        <v>57000000000000</v>
      </c>
      <c r="D300">
        <v>2030</v>
      </c>
      <c r="E300" t="s">
        <v>90</v>
      </c>
      <c r="F300" t="s">
        <v>91</v>
      </c>
      <c r="G300" t="s">
        <v>118</v>
      </c>
    </row>
    <row r="301" spans="1:7" x14ac:dyDescent="0.55000000000000004">
      <c r="A301" t="s">
        <v>94</v>
      </c>
      <c r="B301" t="s">
        <v>97</v>
      </c>
      <c r="C301" s="14">
        <v>207000000000000</v>
      </c>
      <c r="D301">
        <v>2030</v>
      </c>
      <c r="E301" t="s">
        <v>90</v>
      </c>
      <c r="F301" t="s">
        <v>91</v>
      </c>
      <c r="G301" t="s">
        <v>118</v>
      </c>
    </row>
    <row r="302" spans="1:7" x14ac:dyDescent="0.55000000000000004">
      <c r="A302" t="s">
        <v>94</v>
      </c>
      <c r="B302" t="s">
        <v>98</v>
      </c>
      <c r="C302" s="14">
        <v>249000000000000</v>
      </c>
      <c r="D302">
        <v>2030</v>
      </c>
      <c r="E302" t="s">
        <v>90</v>
      </c>
      <c r="F302" t="s">
        <v>91</v>
      </c>
      <c r="G302" t="s">
        <v>118</v>
      </c>
    </row>
    <row r="303" spans="1:7" x14ac:dyDescent="0.55000000000000004">
      <c r="A303" t="s">
        <v>99</v>
      </c>
      <c r="B303" t="s">
        <v>100</v>
      </c>
      <c r="C303" s="14">
        <v>2.13E+17</v>
      </c>
      <c r="D303">
        <v>2030</v>
      </c>
      <c r="E303" t="s">
        <v>90</v>
      </c>
      <c r="F303" t="s">
        <v>91</v>
      </c>
      <c r="G303" t="s">
        <v>118</v>
      </c>
    </row>
    <row r="304" spans="1:7" x14ac:dyDescent="0.55000000000000004">
      <c r="A304" t="s">
        <v>106</v>
      </c>
      <c r="B304" t="s">
        <v>107</v>
      </c>
      <c r="C304" s="14">
        <v>2000000000000</v>
      </c>
      <c r="D304">
        <v>2030</v>
      </c>
      <c r="E304" t="s">
        <v>90</v>
      </c>
      <c r="F304" t="s">
        <v>91</v>
      </c>
      <c r="G304" t="s">
        <v>118</v>
      </c>
    </row>
    <row r="305" spans="1:7" x14ac:dyDescent="0.55000000000000004">
      <c r="A305" t="s">
        <v>101</v>
      </c>
      <c r="B305" t="s">
        <v>103</v>
      </c>
      <c r="D305">
        <v>2030</v>
      </c>
      <c r="E305" t="s">
        <v>90</v>
      </c>
      <c r="F305" t="s">
        <v>91</v>
      </c>
      <c r="G305" t="s">
        <v>118</v>
      </c>
    </row>
    <row r="306" spans="1:7" x14ac:dyDescent="0.55000000000000004">
      <c r="A306" t="s">
        <v>104</v>
      </c>
      <c r="B306" t="s">
        <v>105</v>
      </c>
      <c r="C306" s="14">
        <v>655000000000000</v>
      </c>
      <c r="D306">
        <v>2030</v>
      </c>
      <c r="E306" t="s">
        <v>90</v>
      </c>
      <c r="F306" t="s">
        <v>91</v>
      </c>
      <c r="G306" t="s">
        <v>118</v>
      </c>
    </row>
    <row r="307" spans="1:7" x14ac:dyDescent="0.55000000000000004">
      <c r="A307" t="s">
        <v>88</v>
      </c>
      <c r="B307" t="s">
        <v>93</v>
      </c>
      <c r="C307" s="14">
        <v>29000000000000</v>
      </c>
      <c r="D307">
        <v>2040</v>
      </c>
      <c r="E307" t="s">
        <v>90</v>
      </c>
      <c r="F307" t="s">
        <v>91</v>
      </c>
      <c r="G307" t="s">
        <v>118</v>
      </c>
    </row>
    <row r="308" spans="1:7" x14ac:dyDescent="0.55000000000000004">
      <c r="A308" t="s">
        <v>94</v>
      </c>
      <c r="B308" t="s">
        <v>96</v>
      </c>
      <c r="D308">
        <v>2040</v>
      </c>
      <c r="E308" t="s">
        <v>90</v>
      </c>
      <c r="F308" t="s">
        <v>91</v>
      </c>
      <c r="G308" t="s">
        <v>118</v>
      </c>
    </row>
    <row r="309" spans="1:7" x14ac:dyDescent="0.55000000000000004">
      <c r="A309" t="s">
        <v>94</v>
      </c>
      <c r="B309" t="s">
        <v>97</v>
      </c>
      <c r="C309" s="14">
        <v>76000000000000</v>
      </c>
      <c r="D309">
        <v>2040</v>
      </c>
      <c r="E309" t="s">
        <v>90</v>
      </c>
      <c r="F309" t="s">
        <v>91</v>
      </c>
      <c r="G309" t="s">
        <v>118</v>
      </c>
    </row>
    <row r="310" spans="1:7" x14ac:dyDescent="0.55000000000000004">
      <c r="A310" t="s">
        <v>99</v>
      </c>
      <c r="B310" t="s">
        <v>100</v>
      </c>
      <c r="C310" s="14">
        <v>2.13E+17</v>
      </c>
      <c r="D310">
        <v>2040</v>
      </c>
      <c r="E310" t="s">
        <v>90</v>
      </c>
      <c r="F310" t="s">
        <v>91</v>
      </c>
      <c r="G310" t="s">
        <v>118</v>
      </c>
    </row>
    <row r="311" spans="1:7" x14ac:dyDescent="0.55000000000000004">
      <c r="A311" t="s">
        <v>106</v>
      </c>
      <c r="B311" t="s">
        <v>107</v>
      </c>
      <c r="D311">
        <v>2040</v>
      </c>
      <c r="E311" t="s">
        <v>90</v>
      </c>
      <c r="F311" t="s">
        <v>91</v>
      </c>
      <c r="G311" t="s">
        <v>118</v>
      </c>
    </row>
    <row r="312" spans="1:7" x14ac:dyDescent="0.55000000000000004">
      <c r="A312" t="s">
        <v>101</v>
      </c>
      <c r="B312" t="s">
        <v>103</v>
      </c>
      <c r="D312">
        <v>2040</v>
      </c>
      <c r="E312" t="s">
        <v>90</v>
      </c>
      <c r="F312" t="s">
        <v>91</v>
      </c>
      <c r="G312" t="s">
        <v>118</v>
      </c>
    </row>
    <row r="313" spans="1:7" x14ac:dyDescent="0.55000000000000004">
      <c r="A313" t="s">
        <v>104</v>
      </c>
      <c r="B313" t="s">
        <v>105</v>
      </c>
      <c r="C313" s="14">
        <v>655000000000000</v>
      </c>
      <c r="D313">
        <v>2040</v>
      </c>
      <c r="E313" t="s">
        <v>90</v>
      </c>
      <c r="F313" t="s">
        <v>91</v>
      </c>
      <c r="G313" t="s">
        <v>118</v>
      </c>
    </row>
    <row r="314" spans="1:7" x14ac:dyDescent="0.55000000000000004">
      <c r="A314" t="s">
        <v>94</v>
      </c>
      <c r="B314" t="s">
        <v>96</v>
      </c>
      <c r="D314">
        <v>2050</v>
      </c>
      <c r="E314" t="s">
        <v>90</v>
      </c>
      <c r="F314" t="s">
        <v>91</v>
      </c>
      <c r="G314" t="s">
        <v>118</v>
      </c>
    </row>
    <row r="315" spans="1:7" x14ac:dyDescent="0.55000000000000004">
      <c r="A315" t="s">
        <v>99</v>
      </c>
      <c r="B315" t="s">
        <v>100</v>
      </c>
      <c r="C315" s="14">
        <v>2.13E+17</v>
      </c>
      <c r="D315">
        <v>2050</v>
      </c>
      <c r="E315" t="s">
        <v>90</v>
      </c>
      <c r="F315" t="s">
        <v>91</v>
      </c>
      <c r="G315" t="s">
        <v>118</v>
      </c>
    </row>
    <row r="316" spans="1:7" x14ac:dyDescent="0.55000000000000004">
      <c r="A316" t="s">
        <v>101</v>
      </c>
      <c r="B316" t="s">
        <v>103</v>
      </c>
      <c r="C316" s="14">
        <v>657000000000000</v>
      </c>
      <c r="D316">
        <v>2050</v>
      </c>
      <c r="E316" t="s">
        <v>90</v>
      </c>
      <c r="F316" t="s">
        <v>91</v>
      </c>
      <c r="G316" t="s">
        <v>118</v>
      </c>
    </row>
    <row r="317" spans="1:7" x14ac:dyDescent="0.55000000000000004">
      <c r="A317" t="s">
        <v>104</v>
      </c>
      <c r="B317" t="s">
        <v>105</v>
      </c>
      <c r="C317" s="14">
        <v>42000000000000</v>
      </c>
      <c r="D317">
        <v>2050</v>
      </c>
      <c r="E317" t="s">
        <v>90</v>
      </c>
      <c r="F317" t="s">
        <v>91</v>
      </c>
      <c r="G317" t="s">
        <v>118</v>
      </c>
    </row>
    <row r="318" spans="1:7" x14ac:dyDescent="0.55000000000000004">
      <c r="A318" t="s">
        <v>94</v>
      </c>
      <c r="B318" t="s">
        <v>97</v>
      </c>
      <c r="D318">
        <v>2060</v>
      </c>
      <c r="E318" t="s">
        <v>90</v>
      </c>
      <c r="F318" t="s">
        <v>91</v>
      </c>
      <c r="G318" t="s">
        <v>118</v>
      </c>
    </row>
    <row r="319" spans="1:7" x14ac:dyDescent="0.55000000000000004">
      <c r="A319" t="s">
        <v>94</v>
      </c>
      <c r="B319" t="s">
        <v>98</v>
      </c>
      <c r="D319">
        <v>2060</v>
      </c>
      <c r="E319" t="s">
        <v>90</v>
      </c>
      <c r="F319" t="s">
        <v>91</v>
      </c>
      <c r="G319" t="s">
        <v>118</v>
      </c>
    </row>
    <row r="320" spans="1:7" x14ac:dyDescent="0.55000000000000004">
      <c r="A320" t="s">
        <v>99</v>
      </c>
      <c r="B320" t="s">
        <v>100</v>
      </c>
      <c r="C320" s="14">
        <v>2.13E+17</v>
      </c>
      <c r="D320">
        <v>2060</v>
      </c>
      <c r="E320" t="s">
        <v>90</v>
      </c>
      <c r="F320" t="s">
        <v>91</v>
      </c>
      <c r="G320" t="s">
        <v>118</v>
      </c>
    </row>
    <row r="321" spans="1:7" x14ac:dyDescent="0.55000000000000004">
      <c r="A321" t="s">
        <v>101</v>
      </c>
      <c r="B321" t="s">
        <v>103</v>
      </c>
      <c r="C321" s="14">
        <v>657000000000000</v>
      </c>
      <c r="D321">
        <v>2060</v>
      </c>
      <c r="E321" t="s">
        <v>90</v>
      </c>
      <c r="F321" t="s">
        <v>91</v>
      </c>
      <c r="G321" t="s">
        <v>118</v>
      </c>
    </row>
    <row r="322" spans="1:7" x14ac:dyDescent="0.55000000000000004">
      <c r="A322" t="s">
        <v>104</v>
      </c>
      <c r="B322" t="s">
        <v>105</v>
      </c>
      <c r="C322" s="14">
        <v>71000000000000</v>
      </c>
      <c r="D322">
        <v>2060</v>
      </c>
      <c r="E322" t="s">
        <v>90</v>
      </c>
      <c r="F322" t="s">
        <v>91</v>
      </c>
      <c r="G322" t="s">
        <v>118</v>
      </c>
    </row>
    <row r="323" spans="1:7" x14ac:dyDescent="0.55000000000000004">
      <c r="A323" t="s">
        <v>88</v>
      </c>
      <c r="B323" t="s">
        <v>93</v>
      </c>
      <c r="C323" s="14">
        <v>88000000000000</v>
      </c>
      <c r="D323">
        <v>2020</v>
      </c>
      <c r="E323" t="s">
        <v>111</v>
      </c>
      <c r="F323" t="s">
        <v>91</v>
      </c>
      <c r="G323" t="s">
        <v>118</v>
      </c>
    </row>
    <row r="324" spans="1:7" x14ac:dyDescent="0.55000000000000004">
      <c r="A324" t="s">
        <v>94</v>
      </c>
      <c r="B324" t="s">
        <v>96</v>
      </c>
      <c r="C324" s="14">
        <v>2709000000000000</v>
      </c>
      <c r="D324">
        <v>2020</v>
      </c>
      <c r="E324" t="s">
        <v>111</v>
      </c>
      <c r="F324" t="s">
        <v>91</v>
      </c>
      <c r="G324" t="s">
        <v>118</v>
      </c>
    </row>
    <row r="325" spans="1:7" x14ac:dyDescent="0.55000000000000004">
      <c r="A325" t="s">
        <v>94</v>
      </c>
      <c r="B325" t="s">
        <v>97</v>
      </c>
      <c r="C325" s="14">
        <v>365000000000000</v>
      </c>
      <c r="D325">
        <v>2020</v>
      </c>
      <c r="E325" t="s">
        <v>111</v>
      </c>
      <c r="F325" t="s">
        <v>91</v>
      </c>
      <c r="G325" t="s">
        <v>118</v>
      </c>
    </row>
    <row r="326" spans="1:7" x14ac:dyDescent="0.55000000000000004">
      <c r="A326" t="s">
        <v>94</v>
      </c>
      <c r="B326" t="s">
        <v>98</v>
      </c>
      <c r="C326" s="14">
        <v>662000000000000</v>
      </c>
      <c r="D326">
        <v>2020</v>
      </c>
      <c r="E326" t="s">
        <v>111</v>
      </c>
      <c r="F326" t="s">
        <v>91</v>
      </c>
      <c r="G326" t="s">
        <v>118</v>
      </c>
    </row>
    <row r="327" spans="1:7" x14ac:dyDescent="0.55000000000000004">
      <c r="A327" t="s">
        <v>99</v>
      </c>
      <c r="B327" t="s">
        <v>100</v>
      </c>
      <c r="C327" s="14">
        <v>1.65E+17</v>
      </c>
      <c r="D327">
        <v>2020</v>
      </c>
      <c r="E327" t="s">
        <v>111</v>
      </c>
      <c r="F327" t="s">
        <v>91</v>
      </c>
      <c r="G327" t="s">
        <v>118</v>
      </c>
    </row>
    <row r="328" spans="1:7" x14ac:dyDescent="0.55000000000000004">
      <c r="A328" t="s">
        <v>106</v>
      </c>
      <c r="B328" t="s">
        <v>107</v>
      </c>
      <c r="C328" s="14">
        <v>2000000000000</v>
      </c>
      <c r="D328">
        <v>2020</v>
      </c>
      <c r="E328" t="s">
        <v>111</v>
      </c>
      <c r="F328" t="s">
        <v>91</v>
      </c>
      <c r="G328" t="s">
        <v>118</v>
      </c>
    </row>
    <row r="329" spans="1:7" x14ac:dyDescent="0.55000000000000004">
      <c r="A329" t="s">
        <v>101</v>
      </c>
      <c r="B329" t="s">
        <v>103</v>
      </c>
      <c r="D329">
        <v>2020</v>
      </c>
      <c r="E329" t="s">
        <v>111</v>
      </c>
      <c r="F329" t="s">
        <v>91</v>
      </c>
      <c r="G329" t="s">
        <v>118</v>
      </c>
    </row>
    <row r="330" spans="1:7" x14ac:dyDescent="0.55000000000000004">
      <c r="A330" t="s">
        <v>104</v>
      </c>
      <c r="B330" t="s">
        <v>105</v>
      </c>
      <c r="C330" s="14">
        <v>655000000000000</v>
      </c>
      <c r="D330">
        <v>2020</v>
      </c>
      <c r="E330" t="s">
        <v>111</v>
      </c>
      <c r="F330" t="s">
        <v>91</v>
      </c>
      <c r="G330" t="s">
        <v>118</v>
      </c>
    </row>
    <row r="331" spans="1:7" x14ac:dyDescent="0.55000000000000004">
      <c r="A331" t="s">
        <v>88</v>
      </c>
      <c r="B331" t="s">
        <v>93</v>
      </c>
      <c r="C331" s="14">
        <v>57000000000000</v>
      </c>
      <c r="D331">
        <v>2030</v>
      </c>
      <c r="E331" t="s">
        <v>111</v>
      </c>
      <c r="F331" t="s">
        <v>91</v>
      </c>
      <c r="G331" t="s">
        <v>118</v>
      </c>
    </row>
    <row r="332" spans="1:7" x14ac:dyDescent="0.55000000000000004">
      <c r="A332" t="s">
        <v>94</v>
      </c>
      <c r="B332" t="s">
        <v>97</v>
      </c>
      <c r="C332" s="14">
        <v>207000000000000</v>
      </c>
      <c r="D332">
        <v>2030</v>
      </c>
      <c r="E332" t="s">
        <v>111</v>
      </c>
      <c r="F332" t="s">
        <v>91</v>
      </c>
      <c r="G332" t="s">
        <v>118</v>
      </c>
    </row>
    <row r="333" spans="1:7" x14ac:dyDescent="0.55000000000000004">
      <c r="A333" t="s">
        <v>94</v>
      </c>
      <c r="B333" t="s">
        <v>98</v>
      </c>
      <c r="C333" s="14">
        <v>249000000000000</v>
      </c>
      <c r="D333">
        <v>2030</v>
      </c>
      <c r="E333" t="s">
        <v>111</v>
      </c>
      <c r="F333" t="s">
        <v>91</v>
      </c>
      <c r="G333" t="s">
        <v>118</v>
      </c>
    </row>
    <row r="334" spans="1:7" x14ac:dyDescent="0.55000000000000004">
      <c r="A334" t="s">
        <v>99</v>
      </c>
      <c r="B334" t="s">
        <v>100</v>
      </c>
      <c r="C334" s="14">
        <v>2.13E+17</v>
      </c>
      <c r="D334">
        <v>2030</v>
      </c>
      <c r="E334" t="s">
        <v>111</v>
      </c>
      <c r="F334" t="s">
        <v>91</v>
      </c>
      <c r="G334" t="s">
        <v>118</v>
      </c>
    </row>
    <row r="335" spans="1:7" x14ac:dyDescent="0.55000000000000004">
      <c r="A335" t="s">
        <v>106</v>
      </c>
      <c r="B335" t="s">
        <v>107</v>
      </c>
      <c r="C335" s="14">
        <v>2000000000000</v>
      </c>
      <c r="D335">
        <v>2030</v>
      </c>
      <c r="E335" t="s">
        <v>111</v>
      </c>
      <c r="F335" t="s">
        <v>91</v>
      </c>
      <c r="G335" t="s">
        <v>118</v>
      </c>
    </row>
    <row r="336" spans="1:7" x14ac:dyDescent="0.55000000000000004">
      <c r="A336" t="s">
        <v>101</v>
      </c>
      <c r="B336" t="s">
        <v>103</v>
      </c>
      <c r="D336">
        <v>2030</v>
      </c>
      <c r="E336" t="s">
        <v>111</v>
      </c>
      <c r="F336" t="s">
        <v>91</v>
      </c>
      <c r="G336" t="s">
        <v>118</v>
      </c>
    </row>
    <row r="337" spans="1:7" x14ac:dyDescent="0.55000000000000004">
      <c r="A337" t="s">
        <v>104</v>
      </c>
      <c r="B337" t="s">
        <v>105</v>
      </c>
      <c r="C337" s="14">
        <v>655000000000000</v>
      </c>
      <c r="D337">
        <v>2030</v>
      </c>
      <c r="E337" t="s">
        <v>111</v>
      </c>
      <c r="F337" t="s">
        <v>91</v>
      </c>
      <c r="G337" t="s">
        <v>118</v>
      </c>
    </row>
    <row r="338" spans="1:7" x14ac:dyDescent="0.55000000000000004">
      <c r="A338" t="s">
        <v>88</v>
      </c>
      <c r="B338" t="s">
        <v>93</v>
      </c>
      <c r="C338" s="14">
        <v>29000000000000</v>
      </c>
      <c r="D338">
        <v>2040</v>
      </c>
      <c r="E338" t="s">
        <v>111</v>
      </c>
      <c r="F338" t="s">
        <v>91</v>
      </c>
      <c r="G338" t="s">
        <v>118</v>
      </c>
    </row>
    <row r="339" spans="1:7" x14ac:dyDescent="0.55000000000000004">
      <c r="A339" t="s">
        <v>94</v>
      </c>
      <c r="B339" t="s">
        <v>96</v>
      </c>
      <c r="D339">
        <v>2040</v>
      </c>
      <c r="E339" t="s">
        <v>111</v>
      </c>
      <c r="F339" t="s">
        <v>91</v>
      </c>
      <c r="G339" t="s">
        <v>118</v>
      </c>
    </row>
    <row r="340" spans="1:7" x14ac:dyDescent="0.55000000000000004">
      <c r="A340" t="s">
        <v>94</v>
      </c>
      <c r="B340" t="s">
        <v>97</v>
      </c>
      <c r="C340" s="14">
        <v>76000000000000</v>
      </c>
      <c r="D340">
        <v>2040</v>
      </c>
      <c r="E340" t="s">
        <v>111</v>
      </c>
      <c r="F340" t="s">
        <v>91</v>
      </c>
      <c r="G340" t="s">
        <v>118</v>
      </c>
    </row>
    <row r="341" spans="1:7" x14ac:dyDescent="0.55000000000000004">
      <c r="A341" t="s">
        <v>94</v>
      </c>
      <c r="B341" t="s">
        <v>98</v>
      </c>
      <c r="D341">
        <v>2040</v>
      </c>
      <c r="E341" t="s">
        <v>111</v>
      </c>
      <c r="F341" t="s">
        <v>91</v>
      </c>
      <c r="G341" t="s">
        <v>118</v>
      </c>
    </row>
    <row r="342" spans="1:7" x14ac:dyDescent="0.55000000000000004">
      <c r="A342" t="s">
        <v>99</v>
      </c>
      <c r="B342" t="s">
        <v>100</v>
      </c>
      <c r="C342" s="14">
        <v>2.13E+17</v>
      </c>
      <c r="D342">
        <v>2040</v>
      </c>
      <c r="E342" t="s">
        <v>111</v>
      </c>
      <c r="F342" t="s">
        <v>91</v>
      </c>
      <c r="G342" t="s">
        <v>118</v>
      </c>
    </row>
    <row r="343" spans="1:7" x14ac:dyDescent="0.55000000000000004">
      <c r="A343" t="s">
        <v>106</v>
      </c>
      <c r="B343" t="s">
        <v>107</v>
      </c>
      <c r="D343">
        <v>2040</v>
      </c>
      <c r="E343" t="s">
        <v>111</v>
      </c>
      <c r="F343" t="s">
        <v>91</v>
      </c>
      <c r="G343" t="s">
        <v>118</v>
      </c>
    </row>
    <row r="344" spans="1:7" x14ac:dyDescent="0.55000000000000004">
      <c r="A344" t="s">
        <v>101</v>
      </c>
      <c r="B344" t="s">
        <v>103</v>
      </c>
      <c r="D344">
        <v>2040</v>
      </c>
      <c r="E344" t="s">
        <v>111</v>
      </c>
      <c r="F344" t="s">
        <v>91</v>
      </c>
      <c r="G344" t="s">
        <v>118</v>
      </c>
    </row>
    <row r="345" spans="1:7" x14ac:dyDescent="0.55000000000000004">
      <c r="A345" t="s">
        <v>104</v>
      </c>
      <c r="B345" t="s">
        <v>105</v>
      </c>
      <c r="C345" s="14">
        <v>655000000000000</v>
      </c>
      <c r="D345">
        <v>2040</v>
      </c>
      <c r="E345" t="s">
        <v>111</v>
      </c>
      <c r="F345" t="s">
        <v>91</v>
      </c>
      <c r="G345" t="s">
        <v>118</v>
      </c>
    </row>
    <row r="346" spans="1:7" x14ac:dyDescent="0.55000000000000004">
      <c r="A346" t="s">
        <v>99</v>
      </c>
      <c r="B346" t="s">
        <v>100</v>
      </c>
      <c r="C346" s="14">
        <v>2.13E+17</v>
      </c>
      <c r="D346">
        <v>2050</v>
      </c>
      <c r="E346" t="s">
        <v>111</v>
      </c>
      <c r="F346" t="s">
        <v>91</v>
      </c>
      <c r="G346" t="s">
        <v>118</v>
      </c>
    </row>
    <row r="347" spans="1:7" x14ac:dyDescent="0.55000000000000004">
      <c r="A347" t="s">
        <v>101</v>
      </c>
      <c r="B347" t="s">
        <v>103</v>
      </c>
      <c r="C347" s="14">
        <v>657000000000000</v>
      </c>
      <c r="D347">
        <v>2050</v>
      </c>
      <c r="E347" t="s">
        <v>111</v>
      </c>
      <c r="F347" t="s">
        <v>91</v>
      </c>
      <c r="G347" t="s">
        <v>118</v>
      </c>
    </row>
    <row r="348" spans="1:7" x14ac:dyDescent="0.55000000000000004">
      <c r="A348" t="s">
        <v>104</v>
      </c>
      <c r="B348" t="s">
        <v>105</v>
      </c>
      <c r="C348" s="14">
        <v>2.75E+16</v>
      </c>
      <c r="D348">
        <v>2050</v>
      </c>
      <c r="E348" t="s">
        <v>111</v>
      </c>
      <c r="F348" t="s">
        <v>91</v>
      </c>
      <c r="G348" t="s">
        <v>118</v>
      </c>
    </row>
    <row r="349" spans="1:7" x14ac:dyDescent="0.55000000000000004">
      <c r="A349" t="s">
        <v>99</v>
      </c>
      <c r="B349" t="s">
        <v>100</v>
      </c>
      <c r="C349" s="14">
        <v>2.13E+17</v>
      </c>
      <c r="D349">
        <v>2060</v>
      </c>
      <c r="E349" t="s">
        <v>111</v>
      </c>
      <c r="F349" t="s">
        <v>91</v>
      </c>
      <c r="G349" t="s">
        <v>118</v>
      </c>
    </row>
    <row r="350" spans="1:7" x14ac:dyDescent="0.55000000000000004">
      <c r="A350" t="s">
        <v>101</v>
      </c>
      <c r="B350" t="s">
        <v>103</v>
      </c>
      <c r="C350" s="14">
        <v>895000000000000</v>
      </c>
      <c r="D350">
        <v>2060</v>
      </c>
      <c r="E350" t="s">
        <v>111</v>
      </c>
      <c r="F350" t="s">
        <v>91</v>
      </c>
      <c r="G350" t="s">
        <v>118</v>
      </c>
    </row>
    <row r="351" spans="1:7" x14ac:dyDescent="0.55000000000000004">
      <c r="A351" t="s">
        <v>104</v>
      </c>
      <c r="B351" t="s">
        <v>105</v>
      </c>
      <c r="C351" s="14">
        <v>2.75E+16</v>
      </c>
      <c r="D351">
        <v>2060</v>
      </c>
      <c r="E351" t="s">
        <v>111</v>
      </c>
      <c r="F351" t="s">
        <v>91</v>
      </c>
      <c r="G351" t="s">
        <v>118</v>
      </c>
    </row>
    <row r="352" spans="1:7" x14ac:dyDescent="0.55000000000000004">
      <c r="A352" t="s">
        <v>94</v>
      </c>
      <c r="B352" t="s">
        <v>97</v>
      </c>
      <c r="C352" s="14">
        <v>25000000000000</v>
      </c>
      <c r="D352">
        <v>2020</v>
      </c>
      <c r="E352" t="s">
        <v>90</v>
      </c>
      <c r="F352" t="s">
        <v>91</v>
      </c>
      <c r="G352" t="s">
        <v>119</v>
      </c>
    </row>
    <row r="353" spans="1:7" x14ac:dyDescent="0.55000000000000004">
      <c r="A353" t="s">
        <v>94</v>
      </c>
      <c r="B353" t="s">
        <v>98</v>
      </c>
      <c r="C353" s="14">
        <v>6258000000000000</v>
      </c>
      <c r="D353">
        <v>2020</v>
      </c>
      <c r="E353" t="s">
        <v>90</v>
      </c>
      <c r="F353" t="s">
        <v>91</v>
      </c>
      <c r="G353" t="s">
        <v>119</v>
      </c>
    </row>
    <row r="354" spans="1:7" x14ac:dyDescent="0.55000000000000004">
      <c r="A354" t="s">
        <v>99</v>
      </c>
      <c r="B354" t="s">
        <v>100</v>
      </c>
      <c r="C354" s="14">
        <v>3449000000000000</v>
      </c>
      <c r="D354">
        <v>2020</v>
      </c>
      <c r="E354" t="s">
        <v>90</v>
      </c>
      <c r="F354" t="s">
        <v>91</v>
      </c>
      <c r="G354" t="s">
        <v>119</v>
      </c>
    </row>
    <row r="355" spans="1:7" x14ac:dyDescent="0.55000000000000004">
      <c r="A355" t="s">
        <v>101</v>
      </c>
      <c r="B355" t="s">
        <v>103</v>
      </c>
      <c r="C355" s="14">
        <v>30000000000000</v>
      </c>
      <c r="D355">
        <v>2020</v>
      </c>
      <c r="E355" t="s">
        <v>90</v>
      </c>
      <c r="F355" t="s">
        <v>91</v>
      </c>
      <c r="G355" t="s">
        <v>119</v>
      </c>
    </row>
    <row r="356" spans="1:7" x14ac:dyDescent="0.55000000000000004">
      <c r="A356" t="s">
        <v>104</v>
      </c>
      <c r="B356" t="s">
        <v>105</v>
      </c>
      <c r="C356" s="14">
        <v>4882000000000000</v>
      </c>
      <c r="D356">
        <v>2020</v>
      </c>
      <c r="E356" t="s">
        <v>90</v>
      </c>
      <c r="F356" t="s">
        <v>91</v>
      </c>
      <c r="G356" t="s">
        <v>119</v>
      </c>
    </row>
    <row r="357" spans="1:7" x14ac:dyDescent="0.55000000000000004">
      <c r="A357" t="s">
        <v>88</v>
      </c>
      <c r="B357" t="s">
        <v>89</v>
      </c>
      <c r="C357" s="14">
        <v>114000000000000</v>
      </c>
      <c r="D357">
        <v>2030</v>
      </c>
      <c r="E357" t="s">
        <v>90</v>
      </c>
      <c r="F357" t="s">
        <v>91</v>
      </c>
      <c r="G357" t="s">
        <v>119</v>
      </c>
    </row>
    <row r="358" spans="1:7" x14ac:dyDescent="0.55000000000000004">
      <c r="A358" t="s">
        <v>88</v>
      </c>
      <c r="B358" t="s">
        <v>93</v>
      </c>
      <c r="C358" s="14">
        <v>1747000000000000</v>
      </c>
      <c r="D358">
        <v>2030</v>
      </c>
      <c r="E358" t="s">
        <v>90</v>
      </c>
      <c r="F358" t="s">
        <v>91</v>
      </c>
      <c r="G358" t="s">
        <v>119</v>
      </c>
    </row>
    <row r="359" spans="1:7" x14ac:dyDescent="0.55000000000000004">
      <c r="A359" t="s">
        <v>94</v>
      </c>
      <c r="B359" t="s">
        <v>97</v>
      </c>
      <c r="C359" s="14">
        <v>17000000000000</v>
      </c>
      <c r="D359">
        <v>2030</v>
      </c>
      <c r="E359" t="s">
        <v>90</v>
      </c>
      <c r="F359" t="s">
        <v>91</v>
      </c>
      <c r="G359" t="s">
        <v>119</v>
      </c>
    </row>
    <row r="360" spans="1:7" x14ac:dyDescent="0.55000000000000004">
      <c r="A360" t="s">
        <v>99</v>
      </c>
      <c r="B360" t="s">
        <v>100</v>
      </c>
      <c r="C360" s="14">
        <v>3531000000000000</v>
      </c>
      <c r="D360">
        <v>2030</v>
      </c>
      <c r="E360" t="s">
        <v>90</v>
      </c>
      <c r="F360" t="s">
        <v>91</v>
      </c>
      <c r="G360" t="s">
        <v>119</v>
      </c>
    </row>
    <row r="361" spans="1:7" x14ac:dyDescent="0.55000000000000004">
      <c r="A361" t="s">
        <v>106</v>
      </c>
      <c r="B361" t="s">
        <v>112</v>
      </c>
      <c r="C361" s="14">
        <v>65000000000000</v>
      </c>
      <c r="D361">
        <v>2030</v>
      </c>
      <c r="E361" t="s">
        <v>90</v>
      </c>
      <c r="F361" t="s">
        <v>91</v>
      </c>
      <c r="G361" t="s">
        <v>119</v>
      </c>
    </row>
    <row r="362" spans="1:7" x14ac:dyDescent="0.55000000000000004">
      <c r="A362" t="s">
        <v>101</v>
      </c>
      <c r="B362" t="s">
        <v>103</v>
      </c>
      <c r="C362" s="14">
        <v>247000000000000</v>
      </c>
      <c r="D362">
        <v>2030</v>
      </c>
      <c r="E362" t="s">
        <v>90</v>
      </c>
      <c r="F362" t="s">
        <v>91</v>
      </c>
      <c r="G362" t="s">
        <v>119</v>
      </c>
    </row>
    <row r="363" spans="1:7" x14ac:dyDescent="0.55000000000000004">
      <c r="A363" t="s">
        <v>104</v>
      </c>
      <c r="B363" t="s">
        <v>105</v>
      </c>
      <c r="C363" s="14">
        <v>7637000000000000</v>
      </c>
      <c r="D363">
        <v>2030</v>
      </c>
      <c r="E363" t="s">
        <v>90</v>
      </c>
      <c r="F363" t="s">
        <v>91</v>
      </c>
      <c r="G363" t="s">
        <v>119</v>
      </c>
    </row>
    <row r="364" spans="1:7" x14ac:dyDescent="0.55000000000000004">
      <c r="A364" t="s">
        <v>88</v>
      </c>
      <c r="B364" t="s">
        <v>89</v>
      </c>
      <c r="C364" s="14">
        <v>141000000000000</v>
      </c>
      <c r="D364">
        <v>2040</v>
      </c>
      <c r="E364" t="s">
        <v>90</v>
      </c>
      <c r="F364" t="s">
        <v>91</v>
      </c>
      <c r="G364" t="s">
        <v>119</v>
      </c>
    </row>
    <row r="365" spans="1:7" x14ac:dyDescent="0.55000000000000004">
      <c r="A365" t="s">
        <v>94</v>
      </c>
      <c r="B365" t="s">
        <v>97</v>
      </c>
      <c r="C365" s="14">
        <v>6000000000000</v>
      </c>
      <c r="D365">
        <v>2040</v>
      </c>
      <c r="E365" t="s">
        <v>90</v>
      </c>
      <c r="F365" t="s">
        <v>91</v>
      </c>
      <c r="G365" t="s">
        <v>119</v>
      </c>
    </row>
    <row r="366" spans="1:7" x14ac:dyDescent="0.55000000000000004">
      <c r="A366" t="s">
        <v>99</v>
      </c>
      <c r="B366" t="s">
        <v>100</v>
      </c>
      <c r="C366" s="14">
        <v>3623000000000000</v>
      </c>
      <c r="D366">
        <v>2040</v>
      </c>
      <c r="E366" t="s">
        <v>90</v>
      </c>
      <c r="F366" t="s">
        <v>91</v>
      </c>
      <c r="G366" t="s">
        <v>119</v>
      </c>
    </row>
    <row r="367" spans="1:7" x14ac:dyDescent="0.55000000000000004">
      <c r="A367" t="s">
        <v>106</v>
      </c>
      <c r="B367" t="s">
        <v>112</v>
      </c>
      <c r="C367" s="14">
        <v>136000000000000</v>
      </c>
      <c r="D367">
        <v>2040</v>
      </c>
      <c r="E367" t="s">
        <v>90</v>
      </c>
      <c r="F367" t="s">
        <v>91</v>
      </c>
      <c r="G367" t="s">
        <v>119</v>
      </c>
    </row>
    <row r="368" spans="1:7" x14ac:dyDescent="0.55000000000000004">
      <c r="A368" t="s">
        <v>101</v>
      </c>
      <c r="B368" t="s">
        <v>103</v>
      </c>
      <c r="C368" s="14">
        <v>547000000000000</v>
      </c>
      <c r="D368">
        <v>2040</v>
      </c>
      <c r="E368" t="s">
        <v>90</v>
      </c>
      <c r="F368" t="s">
        <v>91</v>
      </c>
      <c r="G368" t="s">
        <v>119</v>
      </c>
    </row>
    <row r="369" spans="1:7" x14ac:dyDescent="0.55000000000000004">
      <c r="A369" t="s">
        <v>104</v>
      </c>
      <c r="B369" t="s">
        <v>105</v>
      </c>
      <c r="C369" s="14">
        <v>1.96E+16</v>
      </c>
      <c r="D369">
        <v>2040</v>
      </c>
      <c r="E369" t="s">
        <v>90</v>
      </c>
      <c r="F369" t="s">
        <v>91</v>
      </c>
      <c r="G369" t="s">
        <v>119</v>
      </c>
    </row>
    <row r="370" spans="1:7" x14ac:dyDescent="0.55000000000000004">
      <c r="A370" t="s">
        <v>88</v>
      </c>
      <c r="B370" t="s">
        <v>89</v>
      </c>
      <c r="C370" s="14">
        <v>180000000000000</v>
      </c>
      <c r="D370">
        <v>2050</v>
      </c>
      <c r="E370" t="s">
        <v>90</v>
      </c>
      <c r="F370" t="s">
        <v>91</v>
      </c>
      <c r="G370" t="s">
        <v>119</v>
      </c>
    </row>
    <row r="371" spans="1:7" x14ac:dyDescent="0.55000000000000004">
      <c r="A371" t="s">
        <v>99</v>
      </c>
      <c r="B371" t="s">
        <v>100</v>
      </c>
      <c r="C371" s="14">
        <v>3715000000000000</v>
      </c>
      <c r="D371">
        <v>2050</v>
      </c>
      <c r="E371" t="s">
        <v>90</v>
      </c>
      <c r="F371" t="s">
        <v>91</v>
      </c>
      <c r="G371" t="s">
        <v>119</v>
      </c>
    </row>
    <row r="372" spans="1:7" x14ac:dyDescent="0.55000000000000004">
      <c r="A372" t="s">
        <v>109</v>
      </c>
      <c r="B372" t="s">
        <v>110</v>
      </c>
      <c r="C372" s="14">
        <v>6484000000000000</v>
      </c>
      <c r="D372">
        <v>2050</v>
      </c>
      <c r="E372" t="s">
        <v>90</v>
      </c>
      <c r="F372" t="s">
        <v>91</v>
      </c>
      <c r="G372" t="s">
        <v>119</v>
      </c>
    </row>
    <row r="373" spans="1:7" x14ac:dyDescent="0.55000000000000004">
      <c r="A373" t="s">
        <v>106</v>
      </c>
      <c r="B373" t="s">
        <v>112</v>
      </c>
      <c r="C373" s="14">
        <v>208000000000000</v>
      </c>
      <c r="D373">
        <v>2050</v>
      </c>
      <c r="E373" t="s">
        <v>90</v>
      </c>
      <c r="F373" t="s">
        <v>91</v>
      </c>
      <c r="G373" t="s">
        <v>119</v>
      </c>
    </row>
    <row r="374" spans="1:7" x14ac:dyDescent="0.55000000000000004">
      <c r="A374" t="s">
        <v>101</v>
      </c>
      <c r="B374" t="s">
        <v>103</v>
      </c>
      <c r="C374" s="14">
        <v>848000000000000</v>
      </c>
      <c r="D374">
        <v>2050</v>
      </c>
      <c r="E374" t="s">
        <v>90</v>
      </c>
      <c r="F374" t="s">
        <v>91</v>
      </c>
      <c r="G374" t="s">
        <v>119</v>
      </c>
    </row>
    <row r="375" spans="1:7" x14ac:dyDescent="0.55000000000000004">
      <c r="A375" t="s">
        <v>104</v>
      </c>
      <c r="B375" t="s">
        <v>105</v>
      </c>
      <c r="C375" s="14">
        <v>2.51E+16</v>
      </c>
      <c r="D375">
        <v>2050</v>
      </c>
      <c r="E375" t="s">
        <v>90</v>
      </c>
      <c r="F375" t="s">
        <v>91</v>
      </c>
      <c r="G375" t="s">
        <v>119</v>
      </c>
    </row>
    <row r="376" spans="1:7" x14ac:dyDescent="0.55000000000000004">
      <c r="A376" t="s">
        <v>88</v>
      </c>
      <c r="B376" t="s">
        <v>89</v>
      </c>
      <c r="C376" s="14">
        <v>167000000000000</v>
      </c>
      <c r="D376">
        <v>2060</v>
      </c>
      <c r="E376" t="s">
        <v>90</v>
      </c>
      <c r="F376" t="s">
        <v>91</v>
      </c>
      <c r="G376" t="s">
        <v>119</v>
      </c>
    </row>
    <row r="377" spans="1:7" x14ac:dyDescent="0.55000000000000004">
      <c r="A377" t="s">
        <v>88</v>
      </c>
      <c r="B377" t="s">
        <v>93</v>
      </c>
      <c r="C377" s="14">
        <v>272000000000000</v>
      </c>
      <c r="D377">
        <v>2060</v>
      </c>
      <c r="E377" t="s">
        <v>90</v>
      </c>
      <c r="F377" t="s">
        <v>91</v>
      </c>
      <c r="G377" t="s">
        <v>119</v>
      </c>
    </row>
    <row r="378" spans="1:7" x14ac:dyDescent="0.55000000000000004">
      <c r="A378" t="s">
        <v>99</v>
      </c>
      <c r="B378" t="s">
        <v>100</v>
      </c>
      <c r="C378" s="14">
        <v>3715000000000000</v>
      </c>
      <c r="D378">
        <v>2060</v>
      </c>
      <c r="E378" t="s">
        <v>90</v>
      </c>
      <c r="F378" t="s">
        <v>91</v>
      </c>
      <c r="G378" t="s">
        <v>119</v>
      </c>
    </row>
    <row r="379" spans="1:7" x14ac:dyDescent="0.55000000000000004">
      <c r="A379" t="s">
        <v>109</v>
      </c>
      <c r="B379" t="s">
        <v>110</v>
      </c>
      <c r="C379" s="14">
        <v>2.99E+16</v>
      </c>
      <c r="D379">
        <v>2060</v>
      </c>
      <c r="E379" t="s">
        <v>90</v>
      </c>
      <c r="F379" t="s">
        <v>91</v>
      </c>
      <c r="G379" t="s">
        <v>119</v>
      </c>
    </row>
    <row r="380" spans="1:7" x14ac:dyDescent="0.55000000000000004">
      <c r="A380" t="s">
        <v>106</v>
      </c>
      <c r="B380" t="s">
        <v>112</v>
      </c>
      <c r="C380" s="14">
        <v>208000000000000</v>
      </c>
      <c r="D380">
        <v>2060</v>
      </c>
      <c r="E380" t="s">
        <v>90</v>
      </c>
      <c r="F380" t="s">
        <v>91</v>
      </c>
      <c r="G380" t="s">
        <v>119</v>
      </c>
    </row>
    <row r="381" spans="1:7" x14ac:dyDescent="0.55000000000000004">
      <c r="A381" t="s">
        <v>101</v>
      </c>
      <c r="B381" t="s">
        <v>103</v>
      </c>
      <c r="C381" s="14">
        <v>1156000000000000</v>
      </c>
      <c r="D381">
        <v>2060</v>
      </c>
      <c r="E381" t="s">
        <v>90</v>
      </c>
      <c r="F381" t="s">
        <v>91</v>
      </c>
      <c r="G381" t="s">
        <v>119</v>
      </c>
    </row>
    <row r="382" spans="1:7" x14ac:dyDescent="0.55000000000000004">
      <c r="A382" t="s">
        <v>104</v>
      </c>
      <c r="B382" t="s">
        <v>105</v>
      </c>
      <c r="C382" s="14">
        <v>1.79E+16</v>
      </c>
      <c r="D382">
        <v>2060</v>
      </c>
      <c r="E382" t="s">
        <v>90</v>
      </c>
      <c r="F382" t="s">
        <v>91</v>
      </c>
      <c r="G382" t="s">
        <v>119</v>
      </c>
    </row>
    <row r="383" spans="1:7" x14ac:dyDescent="0.55000000000000004">
      <c r="A383" t="s">
        <v>94</v>
      </c>
      <c r="B383" t="s">
        <v>95</v>
      </c>
      <c r="C383" s="14">
        <v>40000000000000</v>
      </c>
      <c r="D383">
        <v>2020</v>
      </c>
      <c r="E383" t="s">
        <v>111</v>
      </c>
      <c r="F383" t="s">
        <v>91</v>
      </c>
      <c r="G383" t="s">
        <v>119</v>
      </c>
    </row>
    <row r="384" spans="1:7" x14ac:dyDescent="0.55000000000000004">
      <c r="A384" t="s">
        <v>94</v>
      </c>
      <c r="B384" t="s">
        <v>97</v>
      </c>
      <c r="C384" s="14">
        <v>25000000000000</v>
      </c>
      <c r="D384">
        <v>2020</v>
      </c>
      <c r="E384" t="s">
        <v>111</v>
      </c>
      <c r="F384" t="s">
        <v>91</v>
      </c>
      <c r="G384" t="s">
        <v>119</v>
      </c>
    </row>
    <row r="385" spans="1:7" x14ac:dyDescent="0.55000000000000004">
      <c r="A385" t="s">
        <v>94</v>
      </c>
      <c r="B385" t="s">
        <v>98</v>
      </c>
      <c r="C385" s="14">
        <v>7611000000000000</v>
      </c>
      <c r="D385">
        <v>2020</v>
      </c>
      <c r="E385" t="s">
        <v>111</v>
      </c>
      <c r="F385" t="s">
        <v>91</v>
      </c>
      <c r="G385" t="s">
        <v>119</v>
      </c>
    </row>
    <row r="386" spans="1:7" x14ac:dyDescent="0.55000000000000004">
      <c r="A386" t="s">
        <v>99</v>
      </c>
      <c r="B386" t="s">
        <v>100</v>
      </c>
      <c r="C386" s="14">
        <v>3449000000000000</v>
      </c>
      <c r="D386">
        <v>2020</v>
      </c>
      <c r="E386" t="s">
        <v>111</v>
      </c>
      <c r="F386" t="s">
        <v>91</v>
      </c>
      <c r="G386" t="s">
        <v>119</v>
      </c>
    </row>
    <row r="387" spans="1:7" x14ac:dyDescent="0.55000000000000004">
      <c r="A387" t="s">
        <v>101</v>
      </c>
      <c r="B387" t="s">
        <v>103</v>
      </c>
      <c r="C387" s="14">
        <v>30000000000000</v>
      </c>
      <c r="D387">
        <v>2020</v>
      </c>
      <c r="E387" t="s">
        <v>111</v>
      </c>
      <c r="F387" t="s">
        <v>91</v>
      </c>
      <c r="G387" t="s">
        <v>119</v>
      </c>
    </row>
    <row r="388" spans="1:7" x14ac:dyDescent="0.55000000000000004">
      <c r="A388" t="s">
        <v>104</v>
      </c>
      <c r="B388" t="s">
        <v>105</v>
      </c>
      <c r="C388" s="14">
        <v>4882000000000000</v>
      </c>
      <c r="D388">
        <v>2020</v>
      </c>
      <c r="E388" t="s">
        <v>111</v>
      </c>
      <c r="F388" t="s">
        <v>91</v>
      </c>
      <c r="G388" t="s">
        <v>119</v>
      </c>
    </row>
    <row r="389" spans="1:7" x14ac:dyDescent="0.55000000000000004">
      <c r="A389" t="s">
        <v>88</v>
      </c>
      <c r="B389" t="s">
        <v>89</v>
      </c>
      <c r="C389" s="14">
        <v>18000000000000</v>
      </c>
      <c r="D389">
        <v>2030</v>
      </c>
      <c r="E389" t="s">
        <v>111</v>
      </c>
      <c r="F389" t="s">
        <v>91</v>
      </c>
      <c r="G389" t="s">
        <v>119</v>
      </c>
    </row>
    <row r="390" spans="1:7" x14ac:dyDescent="0.55000000000000004">
      <c r="A390" t="s">
        <v>94</v>
      </c>
      <c r="B390" t="s">
        <v>97</v>
      </c>
      <c r="C390" s="14">
        <v>17000000000000</v>
      </c>
      <c r="D390">
        <v>2030</v>
      </c>
      <c r="E390" t="s">
        <v>111</v>
      </c>
      <c r="F390" t="s">
        <v>91</v>
      </c>
      <c r="G390" t="s">
        <v>119</v>
      </c>
    </row>
    <row r="391" spans="1:7" x14ac:dyDescent="0.55000000000000004">
      <c r="A391" t="s">
        <v>94</v>
      </c>
      <c r="B391" t="s">
        <v>98</v>
      </c>
      <c r="C391" s="14">
        <v>852000000000000</v>
      </c>
      <c r="D391">
        <v>2030</v>
      </c>
      <c r="E391" t="s">
        <v>111</v>
      </c>
      <c r="F391" t="s">
        <v>91</v>
      </c>
      <c r="G391" t="s">
        <v>119</v>
      </c>
    </row>
    <row r="392" spans="1:7" x14ac:dyDescent="0.55000000000000004">
      <c r="A392" t="s">
        <v>99</v>
      </c>
      <c r="B392" t="s">
        <v>100</v>
      </c>
      <c r="C392" s="14">
        <v>3531000000000000</v>
      </c>
      <c r="D392">
        <v>2030</v>
      </c>
      <c r="E392" t="s">
        <v>111</v>
      </c>
      <c r="F392" t="s">
        <v>91</v>
      </c>
      <c r="G392" t="s">
        <v>119</v>
      </c>
    </row>
    <row r="393" spans="1:7" x14ac:dyDescent="0.55000000000000004">
      <c r="A393" t="s">
        <v>106</v>
      </c>
      <c r="B393" t="s">
        <v>112</v>
      </c>
      <c r="C393" s="14">
        <v>65000000000000</v>
      </c>
      <c r="D393">
        <v>2030</v>
      </c>
      <c r="E393" t="s">
        <v>111</v>
      </c>
      <c r="F393" t="s">
        <v>91</v>
      </c>
      <c r="G393" t="s">
        <v>119</v>
      </c>
    </row>
    <row r="394" spans="1:7" x14ac:dyDescent="0.55000000000000004">
      <c r="A394" t="s">
        <v>101</v>
      </c>
      <c r="B394" t="s">
        <v>103</v>
      </c>
      <c r="C394" s="14">
        <v>247000000000000</v>
      </c>
      <c r="D394">
        <v>2030</v>
      </c>
      <c r="E394" t="s">
        <v>111</v>
      </c>
      <c r="F394" t="s">
        <v>91</v>
      </c>
      <c r="G394" t="s">
        <v>119</v>
      </c>
    </row>
    <row r="395" spans="1:7" x14ac:dyDescent="0.55000000000000004">
      <c r="A395" t="s">
        <v>104</v>
      </c>
      <c r="B395" t="s">
        <v>105</v>
      </c>
      <c r="C395" s="14">
        <v>1.18E+16</v>
      </c>
      <c r="D395">
        <v>2030</v>
      </c>
      <c r="E395" t="s">
        <v>111</v>
      </c>
      <c r="F395" t="s">
        <v>91</v>
      </c>
      <c r="G395" t="s">
        <v>119</v>
      </c>
    </row>
    <row r="396" spans="1:7" x14ac:dyDescent="0.55000000000000004">
      <c r="A396" t="s">
        <v>88</v>
      </c>
      <c r="B396" t="s">
        <v>89</v>
      </c>
      <c r="C396" s="14">
        <v>20000000000000</v>
      </c>
      <c r="D396">
        <v>2040</v>
      </c>
      <c r="E396" t="s">
        <v>111</v>
      </c>
      <c r="F396" t="s">
        <v>91</v>
      </c>
      <c r="G396" t="s">
        <v>119</v>
      </c>
    </row>
    <row r="397" spans="1:7" x14ac:dyDescent="0.55000000000000004">
      <c r="A397" t="s">
        <v>94</v>
      </c>
      <c r="B397" t="s">
        <v>97</v>
      </c>
      <c r="C397" s="14">
        <v>6000000000000</v>
      </c>
      <c r="D397">
        <v>2040</v>
      </c>
      <c r="E397" t="s">
        <v>111</v>
      </c>
      <c r="F397" t="s">
        <v>91</v>
      </c>
      <c r="G397" t="s">
        <v>119</v>
      </c>
    </row>
    <row r="398" spans="1:7" x14ac:dyDescent="0.55000000000000004">
      <c r="A398" t="s">
        <v>94</v>
      </c>
      <c r="B398" t="s">
        <v>98</v>
      </c>
      <c r="C398" s="14">
        <v>246000000000000</v>
      </c>
      <c r="D398">
        <v>2040</v>
      </c>
      <c r="E398" t="s">
        <v>111</v>
      </c>
      <c r="F398" t="s">
        <v>91</v>
      </c>
      <c r="G398" t="s">
        <v>119</v>
      </c>
    </row>
    <row r="399" spans="1:7" x14ac:dyDescent="0.55000000000000004">
      <c r="A399" t="s">
        <v>99</v>
      </c>
      <c r="B399" t="s">
        <v>100</v>
      </c>
      <c r="C399" s="14">
        <v>3623000000000000</v>
      </c>
      <c r="D399">
        <v>2040</v>
      </c>
      <c r="E399" t="s">
        <v>111</v>
      </c>
      <c r="F399" t="s">
        <v>91</v>
      </c>
      <c r="G399" t="s">
        <v>119</v>
      </c>
    </row>
    <row r="400" spans="1:7" x14ac:dyDescent="0.55000000000000004">
      <c r="A400" t="s">
        <v>106</v>
      </c>
      <c r="B400" t="s">
        <v>112</v>
      </c>
      <c r="C400" s="14">
        <v>136000000000000</v>
      </c>
      <c r="D400">
        <v>2040</v>
      </c>
      <c r="E400" t="s">
        <v>111</v>
      </c>
      <c r="F400" t="s">
        <v>91</v>
      </c>
      <c r="G400" t="s">
        <v>119</v>
      </c>
    </row>
    <row r="401" spans="1:7" x14ac:dyDescent="0.55000000000000004">
      <c r="A401" t="s">
        <v>101</v>
      </c>
      <c r="B401" t="s">
        <v>103</v>
      </c>
      <c r="C401" s="14">
        <v>547000000000000</v>
      </c>
      <c r="D401">
        <v>2040</v>
      </c>
      <c r="E401" t="s">
        <v>111</v>
      </c>
      <c r="F401" t="s">
        <v>91</v>
      </c>
      <c r="G401" t="s">
        <v>119</v>
      </c>
    </row>
    <row r="402" spans="1:7" x14ac:dyDescent="0.55000000000000004">
      <c r="A402" t="s">
        <v>104</v>
      </c>
      <c r="B402" t="s">
        <v>105</v>
      </c>
      <c r="C402" s="14">
        <v>2.8E+16</v>
      </c>
      <c r="D402">
        <v>2040</v>
      </c>
      <c r="E402" t="s">
        <v>111</v>
      </c>
      <c r="F402" t="s">
        <v>91</v>
      </c>
      <c r="G402" t="s">
        <v>119</v>
      </c>
    </row>
    <row r="403" spans="1:7" x14ac:dyDescent="0.55000000000000004">
      <c r="A403" t="s">
        <v>94</v>
      </c>
      <c r="B403" t="s">
        <v>98</v>
      </c>
      <c r="C403" s="14">
        <v>722000000000000</v>
      </c>
      <c r="D403">
        <v>2050</v>
      </c>
      <c r="E403" t="s">
        <v>111</v>
      </c>
      <c r="F403" t="s">
        <v>91</v>
      </c>
      <c r="G403" t="s">
        <v>119</v>
      </c>
    </row>
    <row r="404" spans="1:7" x14ac:dyDescent="0.55000000000000004">
      <c r="A404" t="s">
        <v>99</v>
      </c>
      <c r="B404" t="s">
        <v>100</v>
      </c>
      <c r="C404" s="14">
        <v>3715000000000000</v>
      </c>
      <c r="D404">
        <v>2050</v>
      </c>
      <c r="E404" t="s">
        <v>111</v>
      </c>
      <c r="F404" t="s">
        <v>91</v>
      </c>
      <c r="G404" t="s">
        <v>119</v>
      </c>
    </row>
    <row r="405" spans="1:7" x14ac:dyDescent="0.55000000000000004">
      <c r="A405" t="s">
        <v>109</v>
      </c>
      <c r="B405" t="s">
        <v>110</v>
      </c>
      <c r="C405" s="14">
        <v>2.41E+16</v>
      </c>
      <c r="D405">
        <v>2050</v>
      </c>
      <c r="E405" t="s">
        <v>111</v>
      </c>
      <c r="F405" t="s">
        <v>91</v>
      </c>
      <c r="G405" t="s">
        <v>119</v>
      </c>
    </row>
    <row r="406" spans="1:7" x14ac:dyDescent="0.55000000000000004">
      <c r="A406" t="s">
        <v>106</v>
      </c>
      <c r="B406" t="s">
        <v>112</v>
      </c>
      <c r="C406" s="14">
        <v>208000000000000</v>
      </c>
      <c r="D406">
        <v>2050</v>
      </c>
      <c r="E406" t="s">
        <v>111</v>
      </c>
      <c r="F406" t="s">
        <v>91</v>
      </c>
      <c r="G406" t="s">
        <v>119</v>
      </c>
    </row>
    <row r="407" spans="1:7" x14ac:dyDescent="0.55000000000000004">
      <c r="A407" t="s">
        <v>101</v>
      </c>
      <c r="B407" t="s">
        <v>103</v>
      </c>
      <c r="C407" s="14">
        <v>848000000000000</v>
      </c>
      <c r="D407">
        <v>2050</v>
      </c>
      <c r="E407" t="s">
        <v>111</v>
      </c>
      <c r="F407" t="s">
        <v>91</v>
      </c>
      <c r="G407" t="s">
        <v>119</v>
      </c>
    </row>
    <row r="408" spans="1:7" x14ac:dyDescent="0.55000000000000004">
      <c r="A408" t="s">
        <v>104</v>
      </c>
      <c r="B408" t="s">
        <v>105</v>
      </c>
      <c r="C408" s="14">
        <v>3.72E+16</v>
      </c>
      <c r="D408">
        <v>2050</v>
      </c>
      <c r="E408" t="s">
        <v>111</v>
      </c>
      <c r="F408" t="s">
        <v>91</v>
      </c>
      <c r="G408" t="s">
        <v>119</v>
      </c>
    </row>
    <row r="409" spans="1:7" x14ac:dyDescent="0.55000000000000004">
      <c r="A409" t="s">
        <v>94</v>
      </c>
      <c r="B409" t="s">
        <v>98</v>
      </c>
      <c r="C409" s="14">
        <v>98000000000000</v>
      </c>
      <c r="D409">
        <v>2060</v>
      </c>
      <c r="E409" t="s">
        <v>111</v>
      </c>
      <c r="F409" t="s">
        <v>91</v>
      </c>
      <c r="G409" t="s">
        <v>119</v>
      </c>
    </row>
    <row r="410" spans="1:7" x14ac:dyDescent="0.55000000000000004">
      <c r="A410" t="s">
        <v>99</v>
      </c>
      <c r="B410" t="s">
        <v>100</v>
      </c>
      <c r="C410" s="14">
        <v>3715000000000000</v>
      </c>
      <c r="D410">
        <v>2060</v>
      </c>
      <c r="E410" t="s">
        <v>111</v>
      </c>
      <c r="F410" t="s">
        <v>91</v>
      </c>
      <c r="G410" t="s">
        <v>119</v>
      </c>
    </row>
    <row r="411" spans="1:7" x14ac:dyDescent="0.55000000000000004">
      <c r="A411" t="s">
        <v>109</v>
      </c>
      <c r="B411" t="s">
        <v>110</v>
      </c>
      <c r="C411" s="14">
        <v>8.81E+16</v>
      </c>
      <c r="D411">
        <v>2060</v>
      </c>
      <c r="E411" t="s">
        <v>111</v>
      </c>
      <c r="F411" t="s">
        <v>91</v>
      </c>
      <c r="G411" t="s">
        <v>119</v>
      </c>
    </row>
    <row r="412" spans="1:7" x14ac:dyDescent="0.55000000000000004">
      <c r="A412" t="s">
        <v>106</v>
      </c>
      <c r="B412" t="s">
        <v>112</v>
      </c>
      <c r="C412" s="14">
        <v>208000000000000</v>
      </c>
      <c r="D412">
        <v>2060</v>
      </c>
      <c r="E412" t="s">
        <v>111</v>
      </c>
      <c r="F412" t="s">
        <v>91</v>
      </c>
      <c r="G412" t="s">
        <v>119</v>
      </c>
    </row>
    <row r="413" spans="1:7" x14ac:dyDescent="0.55000000000000004">
      <c r="A413" t="s">
        <v>101</v>
      </c>
      <c r="B413" t="s">
        <v>103</v>
      </c>
      <c r="C413" s="14">
        <v>1156000000000000</v>
      </c>
      <c r="D413">
        <v>2060</v>
      </c>
      <c r="E413" t="s">
        <v>111</v>
      </c>
      <c r="F413" t="s">
        <v>91</v>
      </c>
      <c r="G413" t="s">
        <v>119</v>
      </c>
    </row>
    <row r="414" spans="1:7" x14ac:dyDescent="0.55000000000000004">
      <c r="A414" t="s">
        <v>104</v>
      </c>
      <c r="B414" t="s">
        <v>105</v>
      </c>
      <c r="C414" s="14">
        <v>1.98E+16</v>
      </c>
      <c r="D414">
        <v>2060</v>
      </c>
      <c r="E414" t="s">
        <v>111</v>
      </c>
      <c r="F414" t="s">
        <v>91</v>
      </c>
      <c r="G414" t="s">
        <v>119</v>
      </c>
    </row>
    <row r="415" spans="1:7" x14ac:dyDescent="0.55000000000000004">
      <c r="A415" t="s">
        <v>88</v>
      </c>
      <c r="B415" t="s">
        <v>89</v>
      </c>
      <c r="C415" s="14">
        <v>517000000000000</v>
      </c>
      <c r="D415">
        <v>2020</v>
      </c>
      <c r="E415" t="s">
        <v>90</v>
      </c>
      <c r="F415" t="s">
        <v>91</v>
      </c>
      <c r="G415" t="s">
        <v>120</v>
      </c>
    </row>
    <row r="416" spans="1:7" x14ac:dyDescent="0.55000000000000004">
      <c r="A416" t="s">
        <v>88</v>
      </c>
      <c r="B416" t="s">
        <v>93</v>
      </c>
      <c r="C416" s="14">
        <v>3429000000000000</v>
      </c>
      <c r="D416">
        <v>2020</v>
      </c>
      <c r="E416" t="s">
        <v>90</v>
      </c>
      <c r="F416" t="s">
        <v>91</v>
      </c>
      <c r="G416" t="s">
        <v>120</v>
      </c>
    </row>
    <row r="417" spans="1:7" x14ac:dyDescent="0.55000000000000004">
      <c r="A417" t="s">
        <v>94</v>
      </c>
      <c r="B417" t="s">
        <v>96</v>
      </c>
      <c r="C417" s="14">
        <v>161000000000000</v>
      </c>
      <c r="D417">
        <v>2020</v>
      </c>
      <c r="E417" t="s">
        <v>90</v>
      </c>
      <c r="F417" t="s">
        <v>91</v>
      </c>
      <c r="G417" t="s">
        <v>120</v>
      </c>
    </row>
    <row r="418" spans="1:7" x14ac:dyDescent="0.55000000000000004">
      <c r="A418" t="s">
        <v>94</v>
      </c>
      <c r="B418" t="s">
        <v>97</v>
      </c>
      <c r="C418" s="14">
        <v>190000000000000</v>
      </c>
      <c r="D418">
        <v>2020</v>
      </c>
      <c r="E418" t="s">
        <v>90</v>
      </c>
      <c r="F418" t="s">
        <v>91</v>
      </c>
      <c r="G418" t="s">
        <v>120</v>
      </c>
    </row>
    <row r="419" spans="1:7" x14ac:dyDescent="0.55000000000000004">
      <c r="A419" t="s">
        <v>94</v>
      </c>
      <c r="B419" t="s">
        <v>98</v>
      </c>
      <c r="C419" s="14">
        <v>3.77E+16</v>
      </c>
      <c r="D419">
        <v>2020</v>
      </c>
      <c r="E419" t="s">
        <v>90</v>
      </c>
      <c r="F419" t="s">
        <v>91</v>
      </c>
      <c r="G419" t="s">
        <v>120</v>
      </c>
    </row>
    <row r="420" spans="1:7" x14ac:dyDescent="0.55000000000000004">
      <c r="A420" t="s">
        <v>99</v>
      </c>
      <c r="B420" t="s">
        <v>100</v>
      </c>
      <c r="C420" s="14">
        <v>1.39E+17</v>
      </c>
      <c r="D420">
        <v>2020</v>
      </c>
      <c r="E420" t="s">
        <v>90</v>
      </c>
      <c r="F420" t="s">
        <v>91</v>
      </c>
      <c r="G420" t="s">
        <v>120</v>
      </c>
    </row>
    <row r="421" spans="1:7" x14ac:dyDescent="0.55000000000000004">
      <c r="A421" t="s">
        <v>109</v>
      </c>
      <c r="B421" t="s">
        <v>117</v>
      </c>
      <c r="C421" s="14">
        <v>3.07E+17</v>
      </c>
      <c r="D421">
        <v>2020</v>
      </c>
      <c r="E421" t="s">
        <v>90</v>
      </c>
      <c r="F421" t="s">
        <v>91</v>
      </c>
      <c r="G421" t="s">
        <v>120</v>
      </c>
    </row>
    <row r="422" spans="1:7" x14ac:dyDescent="0.55000000000000004">
      <c r="A422" t="s">
        <v>101</v>
      </c>
      <c r="B422" t="s">
        <v>102</v>
      </c>
      <c r="C422" s="14">
        <v>8397000000000000</v>
      </c>
      <c r="D422">
        <v>2020</v>
      </c>
      <c r="E422" t="s">
        <v>90</v>
      </c>
      <c r="F422" t="s">
        <v>91</v>
      </c>
      <c r="G422" t="s">
        <v>120</v>
      </c>
    </row>
    <row r="423" spans="1:7" x14ac:dyDescent="0.55000000000000004">
      <c r="A423" t="s">
        <v>101</v>
      </c>
      <c r="B423" t="s">
        <v>103</v>
      </c>
      <c r="C423" s="14">
        <v>5817000000000000</v>
      </c>
      <c r="D423">
        <v>2020</v>
      </c>
      <c r="E423" t="s">
        <v>90</v>
      </c>
      <c r="F423" t="s">
        <v>91</v>
      </c>
      <c r="G423" t="s">
        <v>120</v>
      </c>
    </row>
    <row r="424" spans="1:7" x14ac:dyDescent="0.55000000000000004">
      <c r="A424" t="s">
        <v>104</v>
      </c>
      <c r="B424" t="s">
        <v>105</v>
      </c>
      <c r="C424" s="14">
        <v>5.2E+16</v>
      </c>
      <c r="D424">
        <v>2020</v>
      </c>
      <c r="E424" t="s">
        <v>90</v>
      </c>
      <c r="F424" t="s">
        <v>91</v>
      </c>
      <c r="G424" t="s">
        <v>120</v>
      </c>
    </row>
    <row r="425" spans="1:7" x14ac:dyDescent="0.55000000000000004">
      <c r="A425" t="s">
        <v>88</v>
      </c>
      <c r="B425" t="s">
        <v>89</v>
      </c>
      <c r="C425" s="14">
        <v>1116000000000000</v>
      </c>
      <c r="D425">
        <v>2030</v>
      </c>
      <c r="E425" t="s">
        <v>90</v>
      </c>
      <c r="F425" t="s">
        <v>91</v>
      </c>
      <c r="G425" t="s">
        <v>120</v>
      </c>
    </row>
    <row r="426" spans="1:7" x14ac:dyDescent="0.55000000000000004">
      <c r="A426" t="s">
        <v>88</v>
      </c>
      <c r="B426" t="s">
        <v>93</v>
      </c>
      <c r="C426" s="14">
        <v>3429000000000000</v>
      </c>
      <c r="D426">
        <v>2030</v>
      </c>
      <c r="E426" t="s">
        <v>90</v>
      </c>
      <c r="F426" t="s">
        <v>91</v>
      </c>
      <c r="G426" t="s">
        <v>120</v>
      </c>
    </row>
    <row r="427" spans="1:7" x14ac:dyDescent="0.55000000000000004">
      <c r="A427" t="s">
        <v>94</v>
      </c>
      <c r="B427" t="s">
        <v>96</v>
      </c>
      <c r="C427" s="14">
        <v>57000000000000</v>
      </c>
      <c r="D427">
        <v>2030</v>
      </c>
      <c r="E427" t="s">
        <v>90</v>
      </c>
      <c r="F427" t="s">
        <v>91</v>
      </c>
      <c r="G427" t="s">
        <v>120</v>
      </c>
    </row>
    <row r="428" spans="1:7" x14ac:dyDescent="0.55000000000000004">
      <c r="A428" t="s">
        <v>94</v>
      </c>
      <c r="B428" t="s">
        <v>97</v>
      </c>
      <c r="C428" s="14">
        <v>109000000000000</v>
      </c>
      <c r="D428">
        <v>2030</v>
      </c>
      <c r="E428" t="s">
        <v>90</v>
      </c>
      <c r="F428" t="s">
        <v>91</v>
      </c>
      <c r="G428" t="s">
        <v>120</v>
      </c>
    </row>
    <row r="429" spans="1:7" x14ac:dyDescent="0.55000000000000004">
      <c r="A429" t="s">
        <v>94</v>
      </c>
      <c r="B429" t="s">
        <v>98</v>
      </c>
      <c r="C429" s="14">
        <v>2.39E+17</v>
      </c>
      <c r="D429">
        <v>2030</v>
      </c>
      <c r="E429" t="s">
        <v>90</v>
      </c>
      <c r="F429" t="s">
        <v>91</v>
      </c>
      <c r="G429" t="s">
        <v>120</v>
      </c>
    </row>
    <row r="430" spans="1:7" x14ac:dyDescent="0.55000000000000004">
      <c r="A430" t="s">
        <v>99</v>
      </c>
      <c r="B430" t="s">
        <v>100</v>
      </c>
      <c r="C430" s="14">
        <v>1.32E+17</v>
      </c>
      <c r="D430">
        <v>2030</v>
      </c>
      <c r="E430" t="s">
        <v>90</v>
      </c>
      <c r="F430" t="s">
        <v>91</v>
      </c>
      <c r="G430" t="s">
        <v>120</v>
      </c>
    </row>
    <row r="431" spans="1:7" x14ac:dyDescent="0.55000000000000004">
      <c r="A431" t="s">
        <v>109</v>
      </c>
      <c r="B431" t="s">
        <v>117</v>
      </c>
      <c r="C431" s="14">
        <v>2.4E+17</v>
      </c>
      <c r="D431">
        <v>2030</v>
      </c>
      <c r="E431" t="s">
        <v>90</v>
      </c>
      <c r="F431" t="s">
        <v>91</v>
      </c>
      <c r="G431" t="s">
        <v>120</v>
      </c>
    </row>
    <row r="432" spans="1:7" x14ac:dyDescent="0.55000000000000004">
      <c r="A432" t="s">
        <v>101</v>
      </c>
      <c r="B432" t="s">
        <v>102</v>
      </c>
      <c r="C432" s="14">
        <v>1.12E+16</v>
      </c>
      <c r="D432">
        <v>2030</v>
      </c>
      <c r="E432" t="s">
        <v>90</v>
      </c>
      <c r="F432" t="s">
        <v>91</v>
      </c>
      <c r="G432" t="s">
        <v>120</v>
      </c>
    </row>
    <row r="433" spans="1:7" x14ac:dyDescent="0.55000000000000004">
      <c r="A433" t="s">
        <v>101</v>
      </c>
      <c r="B433" t="s">
        <v>103</v>
      </c>
      <c r="C433" s="14">
        <v>6987000000000000</v>
      </c>
      <c r="D433">
        <v>2030</v>
      </c>
      <c r="E433" t="s">
        <v>90</v>
      </c>
      <c r="F433" t="s">
        <v>91</v>
      </c>
      <c r="G433" t="s">
        <v>120</v>
      </c>
    </row>
    <row r="434" spans="1:7" x14ac:dyDescent="0.55000000000000004">
      <c r="A434" t="s">
        <v>104</v>
      </c>
      <c r="B434" t="s">
        <v>105</v>
      </c>
      <c r="C434" s="14">
        <v>5.43E+16</v>
      </c>
      <c r="D434">
        <v>2030</v>
      </c>
      <c r="E434" t="s">
        <v>90</v>
      </c>
      <c r="F434" t="s">
        <v>91</v>
      </c>
      <c r="G434" t="s">
        <v>120</v>
      </c>
    </row>
    <row r="435" spans="1:7" x14ac:dyDescent="0.55000000000000004">
      <c r="A435" t="s">
        <v>88</v>
      </c>
      <c r="B435" t="s">
        <v>89</v>
      </c>
      <c r="C435" s="14">
        <v>1482000000000000</v>
      </c>
      <c r="D435">
        <v>2040</v>
      </c>
      <c r="E435" t="s">
        <v>90</v>
      </c>
      <c r="F435" t="s">
        <v>91</v>
      </c>
      <c r="G435" t="s">
        <v>120</v>
      </c>
    </row>
    <row r="436" spans="1:7" x14ac:dyDescent="0.55000000000000004">
      <c r="A436" t="s">
        <v>88</v>
      </c>
      <c r="B436" t="s">
        <v>93</v>
      </c>
      <c r="C436" s="14">
        <v>3429000000000000</v>
      </c>
      <c r="D436">
        <v>2040</v>
      </c>
      <c r="E436" t="s">
        <v>90</v>
      </c>
      <c r="F436" t="s">
        <v>91</v>
      </c>
      <c r="G436" t="s">
        <v>120</v>
      </c>
    </row>
    <row r="437" spans="1:7" x14ac:dyDescent="0.55000000000000004">
      <c r="A437" t="s">
        <v>94</v>
      </c>
      <c r="B437" t="s">
        <v>97</v>
      </c>
      <c r="C437" s="14">
        <v>40000000000000</v>
      </c>
      <c r="D437">
        <v>2040</v>
      </c>
      <c r="E437" t="s">
        <v>90</v>
      </c>
      <c r="F437" t="s">
        <v>91</v>
      </c>
      <c r="G437" t="s">
        <v>120</v>
      </c>
    </row>
    <row r="438" spans="1:7" x14ac:dyDescent="0.55000000000000004">
      <c r="A438" t="s">
        <v>94</v>
      </c>
      <c r="B438" t="s">
        <v>98</v>
      </c>
      <c r="C438" s="14">
        <v>4.16E+17</v>
      </c>
      <c r="D438">
        <v>2040</v>
      </c>
      <c r="E438" t="s">
        <v>90</v>
      </c>
      <c r="F438" t="s">
        <v>91</v>
      </c>
      <c r="G438" t="s">
        <v>120</v>
      </c>
    </row>
    <row r="439" spans="1:7" x14ac:dyDescent="0.55000000000000004">
      <c r="A439" t="s">
        <v>99</v>
      </c>
      <c r="B439" t="s">
        <v>100</v>
      </c>
      <c r="C439" s="14">
        <v>1.39E+17</v>
      </c>
      <c r="D439">
        <v>2040</v>
      </c>
      <c r="E439" t="s">
        <v>90</v>
      </c>
      <c r="F439" t="s">
        <v>91</v>
      </c>
      <c r="G439" t="s">
        <v>120</v>
      </c>
    </row>
    <row r="440" spans="1:7" x14ac:dyDescent="0.55000000000000004">
      <c r="A440" t="s">
        <v>109</v>
      </c>
      <c r="B440" t="s">
        <v>117</v>
      </c>
      <c r="C440" s="14">
        <v>2.75E+17</v>
      </c>
      <c r="D440">
        <v>2040</v>
      </c>
      <c r="E440" t="s">
        <v>90</v>
      </c>
      <c r="F440" t="s">
        <v>91</v>
      </c>
      <c r="G440" t="s">
        <v>120</v>
      </c>
    </row>
    <row r="441" spans="1:7" x14ac:dyDescent="0.55000000000000004">
      <c r="A441" t="s">
        <v>109</v>
      </c>
      <c r="B441" t="s">
        <v>110</v>
      </c>
      <c r="C441" s="14">
        <v>8704000000000000</v>
      </c>
      <c r="D441">
        <v>2040</v>
      </c>
      <c r="E441" t="s">
        <v>90</v>
      </c>
      <c r="F441" t="s">
        <v>91</v>
      </c>
      <c r="G441" t="s">
        <v>120</v>
      </c>
    </row>
    <row r="442" spans="1:7" x14ac:dyDescent="0.55000000000000004">
      <c r="A442" t="s">
        <v>101</v>
      </c>
      <c r="B442" t="s">
        <v>102</v>
      </c>
      <c r="C442" s="14">
        <v>1.41E+16</v>
      </c>
      <c r="D442">
        <v>2040</v>
      </c>
      <c r="E442" t="s">
        <v>90</v>
      </c>
      <c r="F442" t="s">
        <v>91</v>
      </c>
      <c r="G442" t="s">
        <v>120</v>
      </c>
    </row>
    <row r="443" spans="1:7" x14ac:dyDescent="0.55000000000000004">
      <c r="A443" t="s">
        <v>101</v>
      </c>
      <c r="B443" t="s">
        <v>103</v>
      </c>
      <c r="C443" s="14">
        <v>7645000000000000</v>
      </c>
      <c r="D443">
        <v>2040</v>
      </c>
      <c r="E443" t="s">
        <v>90</v>
      </c>
      <c r="F443" t="s">
        <v>91</v>
      </c>
      <c r="G443" t="s">
        <v>120</v>
      </c>
    </row>
    <row r="444" spans="1:7" x14ac:dyDescent="0.55000000000000004">
      <c r="A444" t="s">
        <v>104</v>
      </c>
      <c r="B444" t="s">
        <v>105</v>
      </c>
      <c r="C444" s="14">
        <v>5.31E+16</v>
      </c>
      <c r="D444">
        <v>2040</v>
      </c>
      <c r="E444" t="s">
        <v>90</v>
      </c>
      <c r="F444" t="s">
        <v>91</v>
      </c>
      <c r="G444" t="s">
        <v>120</v>
      </c>
    </row>
    <row r="445" spans="1:7" x14ac:dyDescent="0.55000000000000004">
      <c r="A445" t="s">
        <v>88</v>
      </c>
      <c r="B445" t="s">
        <v>89</v>
      </c>
      <c r="C445" s="14">
        <v>1448000000000000</v>
      </c>
      <c r="D445">
        <v>2050</v>
      </c>
      <c r="E445" t="s">
        <v>90</v>
      </c>
      <c r="F445" t="s">
        <v>91</v>
      </c>
      <c r="G445" t="s">
        <v>120</v>
      </c>
    </row>
    <row r="446" spans="1:7" x14ac:dyDescent="0.55000000000000004">
      <c r="A446" t="s">
        <v>88</v>
      </c>
      <c r="B446" t="s">
        <v>93</v>
      </c>
      <c r="C446" s="14">
        <v>3209000000000000</v>
      </c>
      <c r="D446">
        <v>2050</v>
      </c>
      <c r="E446" t="s">
        <v>90</v>
      </c>
      <c r="F446" t="s">
        <v>91</v>
      </c>
      <c r="G446" t="s">
        <v>120</v>
      </c>
    </row>
    <row r="447" spans="1:7" x14ac:dyDescent="0.55000000000000004">
      <c r="A447" t="s">
        <v>94</v>
      </c>
      <c r="B447" t="s">
        <v>98</v>
      </c>
      <c r="C447" s="14">
        <v>5.99E+17</v>
      </c>
      <c r="D447">
        <v>2050</v>
      </c>
      <c r="E447" t="s">
        <v>90</v>
      </c>
      <c r="F447" t="s">
        <v>91</v>
      </c>
      <c r="G447" t="s">
        <v>120</v>
      </c>
    </row>
    <row r="448" spans="1:7" x14ac:dyDescent="0.55000000000000004">
      <c r="A448" t="s">
        <v>99</v>
      </c>
      <c r="B448" t="s">
        <v>100</v>
      </c>
      <c r="C448" s="14">
        <v>1.39E+17</v>
      </c>
      <c r="D448">
        <v>2050</v>
      </c>
      <c r="E448" t="s">
        <v>90</v>
      </c>
      <c r="F448" t="s">
        <v>91</v>
      </c>
      <c r="G448" t="s">
        <v>120</v>
      </c>
    </row>
    <row r="449" spans="1:7" x14ac:dyDescent="0.55000000000000004">
      <c r="A449" t="s">
        <v>109</v>
      </c>
      <c r="B449" t="s">
        <v>117</v>
      </c>
      <c r="C449" s="14">
        <v>2.34E+17</v>
      </c>
      <c r="D449">
        <v>2050</v>
      </c>
      <c r="E449" t="s">
        <v>90</v>
      </c>
      <c r="F449" t="s">
        <v>91</v>
      </c>
      <c r="G449" t="s">
        <v>120</v>
      </c>
    </row>
    <row r="450" spans="1:7" x14ac:dyDescent="0.55000000000000004">
      <c r="A450" t="s">
        <v>109</v>
      </c>
      <c r="B450" t="s">
        <v>110</v>
      </c>
      <c r="C450" s="14">
        <v>2.62E+16</v>
      </c>
      <c r="D450">
        <v>2050</v>
      </c>
      <c r="E450" t="s">
        <v>90</v>
      </c>
      <c r="F450" t="s">
        <v>91</v>
      </c>
      <c r="G450" t="s">
        <v>120</v>
      </c>
    </row>
    <row r="451" spans="1:7" x14ac:dyDescent="0.55000000000000004">
      <c r="A451" t="s">
        <v>101</v>
      </c>
      <c r="B451" t="s">
        <v>102</v>
      </c>
      <c r="C451" s="14">
        <v>1.67E+16</v>
      </c>
      <c r="D451">
        <v>2050</v>
      </c>
      <c r="E451" t="s">
        <v>90</v>
      </c>
      <c r="F451" t="s">
        <v>91</v>
      </c>
      <c r="G451" t="s">
        <v>120</v>
      </c>
    </row>
    <row r="452" spans="1:7" x14ac:dyDescent="0.55000000000000004">
      <c r="A452" t="s">
        <v>101</v>
      </c>
      <c r="B452" t="s">
        <v>103</v>
      </c>
      <c r="C452" s="14">
        <v>1.42E+16</v>
      </c>
      <c r="D452">
        <v>2050</v>
      </c>
      <c r="E452" t="s">
        <v>90</v>
      </c>
      <c r="F452" t="s">
        <v>91</v>
      </c>
      <c r="G452" t="s">
        <v>120</v>
      </c>
    </row>
    <row r="453" spans="1:7" x14ac:dyDescent="0.55000000000000004">
      <c r="A453" t="s">
        <v>104</v>
      </c>
      <c r="B453" t="s">
        <v>105</v>
      </c>
      <c r="C453" s="14">
        <v>9.36E+16</v>
      </c>
      <c r="D453">
        <v>2050</v>
      </c>
      <c r="E453" t="s">
        <v>90</v>
      </c>
      <c r="F453" t="s">
        <v>91</v>
      </c>
      <c r="G453" t="s">
        <v>120</v>
      </c>
    </row>
    <row r="454" spans="1:7" x14ac:dyDescent="0.55000000000000004">
      <c r="A454" t="s">
        <v>88</v>
      </c>
      <c r="B454" t="s">
        <v>89</v>
      </c>
      <c r="C454" s="14">
        <v>1448000000000000</v>
      </c>
      <c r="D454">
        <v>2060</v>
      </c>
      <c r="E454" t="s">
        <v>90</v>
      </c>
      <c r="F454" t="s">
        <v>91</v>
      </c>
      <c r="G454" t="s">
        <v>120</v>
      </c>
    </row>
    <row r="455" spans="1:7" x14ac:dyDescent="0.55000000000000004">
      <c r="A455" t="s">
        <v>94</v>
      </c>
      <c r="B455" t="s">
        <v>98</v>
      </c>
      <c r="C455" s="14">
        <v>5.98E+17</v>
      </c>
      <c r="D455">
        <v>2060</v>
      </c>
      <c r="E455" t="s">
        <v>90</v>
      </c>
      <c r="F455" t="s">
        <v>91</v>
      </c>
      <c r="G455" t="s">
        <v>120</v>
      </c>
    </row>
    <row r="456" spans="1:7" x14ac:dyDescent="0.55000000000000004">
      <c r="A456" t="s">
        <v>99</v>
      </c>
      <c r="B456" t="s">
        <v>100</v>
      </c>
      <c r="C456" s="14">
        <v>1.39E+17</v>
      </c>
      <c r="D456">
        <v>2060</v>
      </c>
      <c r="E456" t="s">
        <v>90</v>
      </c>
      <c r="F456" t="s">
        <v>91</v>
      </c>
      <c r="G456" t="s">
        <v>120</v>
      </c>
    </row>
    <row r="457" spans="1:7" x14ac:dyDescent="0.55000000000000004">
      <c r="A457" t="s">
        <v>109</v>
      </c>
      <c r="B457" t="s">
        <v>110</v>
      </c>
      <c r="C457" s="14">
        <v>3.14E+17</v>
      </c>
      <c r="D457">
        <v>2060</v>
      </c>
      <c r="E457" t="s">
        <v>90</v>
      </c>
      <c r="F457" t="s">
        <v>91</v>
      </c>
      <c r="G457" t="s">
        <v>120</v>
      </c>
    </row>
    <row r="458" spans="1:7" x14ac:dyDescent="0.55000000000000004">
      <c r="A458" t="s">
        <v>101</v>
      </c>
      <c r="B458" t="s">
        <v>103</v>
      </c>
      <c r="C458" s="14">
        <v>1.94E+16</v>
      </c>
      <c r="D458">
        <v>2060</v>
      </c>
      <c r="E458" t="s">
        <v>90</v>
      </c>
      <c r="F458" t="s">
        <v>91</v>
      </c>
      <c r="G458" t="s">
        <v>120</v>
      </c>
    </row>
    <row r="459" spans="1:7" x14ac:dyDescent="0.55000000000000004">
      <c r="A459" t="s">
        <v>104</v>
      </c>
      <c r="B459" t="s">
        <v>105</v>
      </c>
      <c r="C459" s="14">
        <v>9.06E+16</v>
      </c>
      <c r="D459">
        <v>2060</v>
      </c>
      <c r="E459" t="s">
        <v>90</v>
      </c>
      <c r="F459" t="s">
        <v>91</v>
      </c>
      <c r="G459" t="s">
        <v>120</v>
      </c>
    </row>
    <row r="460" spans="1:7" x14ac:dyDescent="0.55000000000000004">
      <c r="A460" t="s">
        <v>88</v>
      </c>
      <c r="B460" t="s">
        <v>89</v>
      </c>
      <c r="C460" s="14">
        <v>517000000000000</v>
      </c>
      <c r="D460">
        <v>2020</v>
      </c>
      <c r="E460" t="s">
        <v>111</v>
      </c>
      <c r="F460" t="s">
        <v>91</v>
      </c>
      <c r="G460" t="s">
        <v>120</v>
      </c>
    </row>
    <row r="461" spans="1:7" x14ac:dyDescent="0.55000000000000004">
      <c r="A461" t="s">
        <v>88</v>
      </c>
      <c r="B461" t="s">
        <v>93</v>
      </c>
      <c r="C461" s="14">
        <v>3429000000000000</v>
      </c>
      <c r="D461">
        <v>2020</v>
      </c>
      <c r="E461" t="s">
        <v>111</v>
      </c>
      <c r="F461" t="s">
        <v>91</v>
      </c>
      <c r="G461" t="s">
        <v>120</v>
      </c>
    </row>
    <row r="462" spans="1:7" x14ac:dyDescent="0.55000000000000004">
      <c r="A462" t="s">
        <v>94</v>
      </c>
      <c r="B462" t="s">
        <v>96</v>
      </c>
      <c r="C462" s="14">
        <v>161000000000000</v>
      </c>
      <c r="D462">
        <v>2020</v>
      </c>
      <c r="E462" t="s">
        <v>111</v>
      </c>
      <c r="F462" t="s">
        <v>91</v>
      </c>
      <c r="G462" t="s">
        <v>120</v>
      </c>
    </row>
    <row r="463" spans="1:7" x14ac:dyDescent="0.55000000000000004">
      <c r="A463" t="s">
        <v>94</v>
      </c>
      <c r="B463" t="s">
        <v>97</v>
      </c>
      <c r="C463" s="14">
        <v>190000000000000</v>
      </c>
      <c r="D463">
        <v>2020</v>
      </c>
      <c r="E463" t="s">
        <v>111</v>
      </c>
      <c r="F463" t="s">
        <v>91</v>
      </c>
      <c r="G463" t="s">
        <v>120</v>
      </c>
    </row>
    <row r="464" spans="1:7" x14ac:dyDescent="0.55000000000000004">
      <c r="A464" t="s">
        <v>94</v>
      </c>
      <c r="B464" t="s">
        <v>98</v>
      </c>
      <c r="C464" s="14">
        <v>3.77E+16</v>
      </c>
      <c r="D464">
        <v>2020</v>
      </c>
      <c r="E464" t="s">
        <v>111</v>
      </c>
      <c r="F464" t="s">
        <v>91</v>
      </c>
      <c r="G464" t="s">
        <v>120</v>
      </c>
    </row>
    <row r="465" spans="1:7" x14ac:dyDescent="0.55000000000000004">
      <c r="A465" t="s">
        <v>99</v>
      </c>
      <c r="B465" t="s">
        <v>100</v>
      </c>
      <c r="C465" s="14">
        <v>1.39E+17</v>
      </c>
      <c r="D465">
        <v>2020</v>
      </c>
      <c r="E465" t="s">
        <v>111</v>
      </c>
      <c r="F465" t="s">
        <v>91</v>
      </c>
      <c r="G465" t="s">
        <v>120</v>
      </c>
    </row>
    <row r="466" spans="1:7" x14ac:dyDescent="0.55000000000000004">
      <c r="A466" t="s">
        <v>109</v>
      </c>
      <c r="B466" t="s">
        <v>117</v>
      </c>
      <c r="C466" s="14">
        <v>3.07E+17</v>
      </c>
      <c r="D466">
        <v>2020</v>
      </c>
      <c r="E466" t="s">
        <v>111</v>
      </c>
      <c r="F466" t="s">
        <v>91</v>
      </c>
      <c r="G466" t="s">
        <v>120</v>
      </c>
    </row>
    <row r="467" spans="1:7" x14ac:dyDescent="0.55000000000000004">
      <c r="A467" t="s">
        <v>101</v>
      </c>
      <c r="B467" t="s">
        <v>102</v>
      </c>
      <c r="C467" s="14">
        <v>8239000000000000</v>
      </c>
      <c r="D467">
        <v>2020</v>
      </c>
      <c r="E467" t="s">
        <v>111</v>
      </c>
      <c r="F467" t="s">
        <v>91</v>
      </c>
      <c r="G467" t="s">
        <v>120</v>
      </c>
    </row>
    <row r="468" spans="1:7" x14ac:dyDescent="0.55000000000000004">
      <c r="A468" t="s">
        <v>101</v>
      </c>
      <c r="B468" t="s">
        <v>103</v>
      </c>
      <c r="C468" s="14">
        <v>5817000000000000</v>
      </c>
      <c r="D468">
        <v>2020</v>
      </c>
      <c r="E468" t="s">
        <v>111</v>
      </c>
      <c r="F468" t="s">
        <v>91</v>
      </c>
      <c r="G468" t="s">
        <v>120</v>
      </c>
    </row>
    <row r="469" spans="1:7" x14ac:dyDescent="0.55000000000000004">
      <c r="A469" t="s">
        <v>104</v>
      </c>
      <c r="B469" t="s">
        <v>105</v>
      </c>
      <c r="C469" s="14">
        <v>4.99E+16</v>
      </c>
      <c r="D469">
        <v>2020</v>
      </c>
      <c r="E469" t="s">
        <v>111</v>
      </c>
      <c r="F469" t="s">
        <v>91</v>
      </c>
      <c r="G469" t="s">
        <v>120</v>
      </c>
    </row>
    <row r="470" spans="1:7" x14ac:dyDescent="0.55000000000000004">
      <c r="A470" t="s">
        <v>88</v>
      </c>
      <c r="B470" t="s">
        <v>89</v>
      </c>
      <c r="C470" s="14">
        <v>502000000000000</v>
      </c>
      <c r="D470">
        <v>2030</v>
      </c>
      <c r="E470" t="s">
        <v>111</v>
      </c>
      <c r="F470" t="s">
        <v>91</v>
      </c>
      <c r="G470" t="s">
        <v>120</v>
      </c>
    </row>
    <row r="471" spans="1:7" x14ac:dyDescent="0.55000000000000004">
      <c r="A471" t="s">
        <v>88</v>
      </c>
      <c r="B471" t="s">
        <v>93</v>
      </c>
      <c r="C471" s="14">
        <v>7448000000000000</v>
      </c>
      <c r="D471">
        <v>2030</v>
      </c>
      <c r="E471" t="s">
        <v>111</v>
      </c>
      <c r="F471" t="s">
        <v>91</v>
      </c>
      <c r="G471" t="s">
        <v>120</v>
      </c>
    </row>
    <row r="472" spans="1:7" x14ac:dyDescent="0.55000000000000004">
      <c r="A472" t="s">
        <v>94</v>
      </c>
      <c r="B472" t="s">
        <v>96</v>
      </c>
      <c r="C472" s="14">
        <v>57000000000000</v>
      </c>
      <c r="D472">
        <v>2030</v>
      </c>
      <c r="E472" t="s">
        <v>111</v>
      </c>
      <c r="F472" t="s">
        <v>91</v>
      </c>
      <c r="G472" t="s">
        <v>120</v>
      </c>
    </row>
    <row r="473" spans="1:7" x14ac:dyDescent="0.55000000000000004">
      <c r="A473" t="s">
        <v>94</v>
      </c>
      <c r="B473" t="s">
        <v>97</v>
      </c>
      <c r="C473" s="14">
        <v>109000000000000</v>
      </c>
      <c r="D473">
        <v>2030</v>
      </c>
      <c r="E473" t="s">
        <v>111</v>
      </c>
      <c r="F473" t="s">
        <v>91</v>
      </c>
      <c r="G473" t="s">
        <v>120</v>
      </c>
    </row>
    <row r="474" spans="1:7" x14ac:dyDescent="0.55000000000000004">
      <c r="A474" t="s">
        <v>94</v>
      </c>
      <c r="B474" t="s">
        <v>98</v>
      </c>
      <c r="C474" s="14">
        <v>1.48E+16</v>
      </c>
      <c r="D474">
        <v>2030</v>
      </c>
      <c r="E474" t="s">
        <v>111</v>
      </c>
      <c r="F474" t="s">
        <v>91</v>
      </c>
      <c r="G474" t="s">
        <v>120</v>
      </c>
    </row>
    <row r="475" spans="1:7" x14ac:dyDescent="0.55000000000000004">
      <c r="A475" t="s">
        <v>99</v>
      </c>
      <c r="B475" t="s">
        <v>100</v>
      </c>
      <c r="C475" s="14">
        <v>1.32E+17</v>
      </c>
      <c r="D475">
        <v>2030</v>
      </c>
      <c r="E475" t="s">
        <v>111</v>
      </c>
      <c r="F475" t="s">
        <v>91</v>
      </c>
      <c r="G475" t="s">
        <v>120</v>
      </c>
    </row>
    <row r="476" spans="1:7" x14ac:dyDescent="0.55000000000000004">
      <c r="A476" t="s">
        <v>109</v>
      </c>
      <c r="B476" t="s">
        <v>117</v>
      </c>
      <c r="C476" s="14">
        <v>2.4E+17</v>
      </c>
      <c r="D476">
        <v>2030</v>
      </c>
      <c r="E476" t="s">
        <v>111</v>
      </c>
      <c r="F476" t="s">
        <v>91</v>
      </c>
      <c r="G476" t="s">
        <v>120</v>
      </c>
    </row>
    <row r="477" spans="1:7" x14ac:dyDescent="0.55000000000000004">
      <c r="A477" t="s">
        <v>109</v>
      </c>
      <c r="B477" t="s">
        <v>110</v>
      </c>
      <c r="C477" s="14">
        <v>4352000000000000</v>
      </c>
      <c r="D477">
        <v>2030</v>
      </c>
      <c r="E477" t="s">
        <v>111</v>
      </c>
      <c r="F477" t="s">
        <v>91</v>
      </c>
      <c r="G477" t="s">
        <v>120</v>
      </c>
    </row>
    <row r="478" spans="1:7" x14ac:dyDescent="0.55000000000000004">
      <c r="A478" t="s">
        <v>101</v>
      </c>
      <c r="B478" t="s">
        <v>102</v>
      </c>
      <c r="C478" s="14">
        <v>1.12E+16</v>
      </c>
      <c r="D478">
        <v>2030</v>
      </c>
      <c r="E478" t="s">
        <v>111</v>
      </c>
      <c r="F478" t="s">
        <v>91</v>
      </c>
      <c r="G478" t="s">
        <v>120</v>
      </c>
    </row>
    <row r="479" spans="1:7" x14ac:dyDescent="0.55000000000000004">
      <c r="A479" t="s">
        <v>101</v>
      </c>
      <c r="B479" t="s">
        <v>103</v>
      </c>
      <c r="C479" s="14">
        <v>6987000000000000</v>
      </c>
      <c r="D479">
        <v>2030</v>
      </c>
      <c r="E479" t="s">
        <v>111</v>
      </c>
      <c r="F479" t="s">
        <v>91</v>
      </c>
      <c r="G479" t="s">
        <v>120</v>
      </c>
    </row>
    <row r="480" spans="1:7" x14ac:dyDescent="0.55000000000000004">
      <c r="A480" t="s">
        <v>104</v>
      </c>
      <c r="B480" t="s">
        <v>105</v>
      </c>
      <c r="C480" s="14">
        <v>2E+17</v>
      </c>
      <c r="D480">
        <v>2030</v>
      </c>
      <c r="E480" t="s">
        <v>111</v>
      </c>
      <c r="F480" t="s">
        <v>91</v>
      </c>
      <c r="G480" t="s">
        <v>120</v>
      </c>
    </row>
    <row r="481" spans="1:7" x14ac:dyDescent="0.55000000000000004">
      <c r="A481" t="s">
        <v>88</v>
      </c>
      <c r="B481" t="s">
        <v>89</v>
      </c>
      <c r="C481" s="14">
        <v>481000000000000</v>
      </c>
      <c r="D481">
        <v>2040</v>
      </c>
      <c r="E481" t="s">
        <v>111</v>
      </c>
      <c r="F481" t="s">
        <v>91</v>
      </c>
      <c r="G481" t="s">
        <v>120</v>
      </c>
    </row>
    <row r="482" spans="1:7" x14ac:dyDescent="0.55000000000000004">
      <c r="A482" t="s">
        <v>88</v>
      </c>
      <c r="B482" t="s">
        <v>93</v>
      </c>
      <c r="C482" s="14">
        <v>8399000000000000</v>
      </c>
      <c r="D482">
        <v>2040</v>
      </c>
      <c r="E482" t="s">
        <v>111</v>
      </c>
      <c r="F482" t="s">
        <v>91</v>
      </c>
      <c r="G482" t="s">
        <v>120</v>
      </c>
    </row>
    <row r="483" spans="1:7" x14ac:dyDescent="0.55000000000000004">
      <c r="A483" t="s">
        <v>94</v>
      </c>
      <c r="B483" t="s">
        <v>97</v>
      </c>
      <c r="C483" s="14">
        <v>40000000000000</v>
      </c>
      <c r="D483">
        <v>2040</v>
      </c>
      <c r="E483" t="s">
        <v>111</v>
      </c>
      <c r="F483" t="s">
        <v>91</v>
      </c>
      <c r="G483" t="s">
        <v>120</v>
      </c>
    </row>
    <row r="484" spans="1:7" x14ac:dyDescent="0.55000000000000004">
      <c r="A484" t="s">
        <v>94</v>
      </c>
      <c r="B484" t="s">
        <v>98</v>
      </c>
      <c r="C484" s="14">
        <v>4730000000000000</v>
      </c>
      <c r="D484">
        <v>2040</v>
      </c>
      <c r="E484" t="s">
        <v>111</v>
      </c>
      <c r="F484" t="s">
        <v>91</v>
      </c>
      <c r="G484" t="s">
        <v>120</v>
      </c>
    </row>
    <row r="485" spans="1:7" x14ac:dyDescent="0.55000000000000004">
      <c r="A485" t="s">
        <v>99</v>
      </c>
      <c r="B485" t="s">
        <v>100</v>
      </c>
      <c r="C485" s="14">
        <v>1.39E+17</v>
      </c>
      <c r="D485">
        <v>2040</v>
      </c>
      <c r="E485" t="s">
        <v>111</v>
      </c>
      <c r="F485" t="s">
        <v>91</v>
      </c>
      <c r="G485" t="s">
        <v>120</v>
      </c>
    </row>
    <row r="486" spans="1:7" x14ac:dyDescent="0.55000000000000004">
      <c r="A486" t="s">
        <v>109</v>
      </c>
      <c r="B486" t="s">
        <v>117</v>
      </c>
      <c r="C486" s="14">
        <v>2.75E+17</v>
      </c>
      <c r="D486">
        <v>2040</v>
      </c>
      <c r="E486" t="s">
        <v>111</v>
      </c>
      <c r="F486" t="s">
        <v>91</v>
      </c>
      <c r="G486" t="s">
        <v>120</v>
      </c>
    </row>
    <row r="487" spans="1:7" x14ac:dyDescent="0.55000000000000004">
      <c r="A487" t="s">
        <v>109</v>
      </c>
      <c r="B487" t="s">
        <v>110</v>
      </c>
      <c r="C487" s="14">
        <v>8704000000000000</v>
      </c>
      <c r="D487">
        <v>2040</v>
      </c>
      <c r="E487" t="s">
        <v>111</v>
      </c>
      <c r="F487" t="s">
        <v>91</v>
      </c>
      <c r="G487" t="s">
        <v>120</v>
      </c>
    </row>
    <row r="488" spans="1:7" x14ac:dyDescent="0.55000000000000004">
      <c r="A488" t="s">
        <v>101</v>
      </c>
      <c r="B488" t="s">
        <v>102</v>
      </c>
      <c r="C488" s="14">
        <v>1.41E+16</v>
      </c>
      <c r="D488">
        <v>2040</v>
      </c>
      <c r="E488" t="s">
        <v>111</v>
      </c>
      <c r="F488" t="s">
        <v>91</v>
      </c>
      <c r="G488" t="s">
        <v>120</v>
      </c>
    </row>
    <row r="489" spans="1:7" x14ac:dyDescent="0.55000000000000004">
      <c r="A489" t="s">
        <v>101</v>
      </c>
      <c r="B489" t="s">
        <v>103</v>
      </c>
      <c r="C489" s="14">
        <v>1.04E+16</v>
      </c>
      <c r="D489">
        <v>2040</v>
      </c>
      <c r="E489" t="s">
        <v>111</v>
      </c>
      <c r="F489" t="s">
        <v>91</v>
      </c>
      <c r="G489" t="s">
        <v>120</v>
      </c>
    </row>
    <row r="490" spans="1:7" x14ac:dyDescent="0.55000000000000004">
      <c r="A490" t="s">
        <v>104</v>
      </c>
      <c r="B490" t="s">
        <v>105</v>
      </c>
      <c r="C490" s="14">
        <v>5.77E+17</v>
      </c>
      <c r="D490">
        <v>2040</v>
      </c>
      <c r="E490" t="s">
        <v>111</v>
      </c>
      <c r="F490" t="s">
        <v>91</v>
      </c>
      <c r="G490" t="s">
        <v>120</v>
      </c>
    </row>
    <row r="491" spans="1:7" x14ac:dyDescent="0.55000000000000004">
      <c r="A491" t="s">
        <v>88</v>
      </c>
      <c r="B491" t="s">
        <v>89</v>
      </c>
      <c r="C491" s="14">
        <v>376000000000000</v>
      </c>
      <c r="D491">
        <v>2050</v>
      </c>
      <c r="E491" t="s">
        <v>111</v>
      </c>
      <c r="F491" t="s">
        <v>91</v>
      </c>
      <c r="G491" t="s">
        <v>120</v>
      </c>
    </row>
    <row r="492" spans="1:7" x14ac:dyDescent="0.55000000000000004">
      <c r="A492" t="s">
        <v>88</v>
      </c>
      <c r="B492" t="s">
        <v>93</v>
      </c>
      <c r="C492" s="14">
        <v>3.37E+16</v>
      </c>
      <c r="D492">
        <v>2050</v>
      </c>
      <c r="E492" t="s">
        <v>111</v>
      </c>
      <c r="F492" t="s">
        <v>91</v>
      </c>
      <c r="G492" t="s">
        <v>120</v>
      </c>
    </row>
    <row r="493" spans="1:7" x14ac:dyDescent="0.55000000000000004">
      <c r="A493" t="s">
        <v>94</v>
      </c>
      <c r="B493" t="s">
        <v>98</v>
      </c>
      <c r="C493" s="14">
        <v>4730000000000000</v>
      </c>
      <c r="D493">
        <v>2050</v>
      </c>
      <c r="E493" t="s">
        <v>111</v>
      </c>
      <c r="F493" t="s">
        <v>91</v>
      </c>
      <c r="G493" t="s">
        <v>120</v>
      </c>
    </row>
    <row r="494" spans="1:7" x14ac:dyDescent="0.55000000000000004">
      <c r="A494" t="s">
        <v>99</v>
      </c>
      <c r="B494" t="s">
        <v>100</v>
      </c>
      <c r="C494" s="14">
        <v>1.39E+17</v>
      </c>
      <c r="D494">
        <v>2050</v>
      </c>
      <c r="E494" t="s">
        <v>111</v>
      </c>
      <c r="F494" t="s">
        <v>91</v>
      </c>
      <c r="G494" t="s">
        <v>120</v>
      </c>
    </row>
    <row r="495" spans="1:7" x14ac:dyDescent="0.55000000000000004">
      <c r="A495" t="s">
        <v>109</v>
      </c>
      <c r="B495" t="s">
        <v>117</v>
      </c>
      <c r="C495" s="14">
        <v>2.34E+17</v>
      </c>
      <c r="D495">
        <v>2050</v>
      </c>
      <c r="E495" t="s">
        <v>111</v>
      </c>
      <c r="F495" t="s">
        <v>91</v>
      </c>
      <c r="G495" t="s">
        <v>120</v>
      </c>
    </row>
    <row r="496" spans="1:7" x14ac:dyDescent="0.55000000000000004">
      <c r="A496" t="s">
        <v>109</v>
      </c>
      <c r="B496" t="s">
        <v>110</v>
      </c>
      <c r="C496" s="14">
        <v>1.56E+17</v>
      </c>
      <c r="D496">
        <v>2050</v>
      </c>
      <c r="E496" t="s">
        <v>111</v>
      </c>
      <c r="F496" t="s">
        <v>91</v>
      </c>
      <c r="G496" t="s">
        <v>120</v>
      </c>
    </row>
    <row r="497" spans="1:7" x14ac:dyDescent="0.55000000000000004">
      <c r="A497" t="s">
        <v>101</v>
      </c>
      <c r="B497" t="s">
        <v>102</v>
      </c>
      <c r="C497" s="14">
        <v>1.67E+16</v>
      </c>
      <c r="D497">
        <v>2050</v>
      </c>
      <c r="E497" t="s">
        <v>111</v>
      </c>
      <c r="F497" t="s">
        <v>91</v>
      </c>
      <c r="G497" t="s">
        <v>120</v>
      </c>
    </row>
    <row r="498" spans="1:7" x14ac:dyDescent="0.55000000000000004">
      <c r="A498" t="s">
        <v>101</v>
      </c>
      <c r="B498" t="s">
        <v>103</v>
      </c>
      <c r="C498" s="14">
        <v>1.42E+16</v>
      </c>
      <c r="D498">
        <v>2050</v>
      </c>
      <c r="E498" t="s">
        <v>111</v>
      </c>
      <c r="F498" t="s">
        <v>91</v>
      </c>
      <c r="G498" t="s">
        <v>120</v>
      </c>
    </row>
    <row r="499" spans="1:7" x14ac:dyDescent="0.55000000000000004">
      <c r="A499" t="s">
        <v>104</v>
      </c>
      <c r="B499" t="s">
        <v>105</v>
      </c>
      <c r="C499" s="14">
        <v>9.04E+17</v>
      </c>
      <c r="D499">
        <v>2050</v>
      </c>
      <c r="E499" t="s">
        <v>111</v>
      </c>
      <c r="F499" t="s">
        <v>91</v>
      </c>
      <c r="G499" t="s">
        <v>120</v>
      </c>
    </row>
    <row r="500" spans="1:7" x14ac:dyDescent="0.55000000000000004">
      <c r="A500" t="s">
        <v>88</v>
      </c>
      <c r="B500" t="s">
        <v>89</v>
      </c>
      <c r="C500" s="14">
        <v>208000000000000</v>
      </c>
      <c r="D500">
        <v>2060</v>
      </c>
      <c r="E500" t="s">
        <v>111</v>
      </c>
      <c r="F500" t="s">
        <v>91</v>
      </c>
      <c r="G500" t="s">
        <v>120</v>
      </c>
    </row>
    <row r="501" spans="1:7" x14ac:dyDescent="0.55000000000000004">
      <c r="A501" t="s">
        <v>88</v>
      </c>
      <c r="B501" t="s">
        <v>93</v>
      </c>
      <c r="C501" s="14">
        <v>3.74E+16</v>
      </c>
      <c r="D501">
        <v>2060</v>
      </c>
      <c r="E501" t="s">
        <v>111</v>
      </c>
      <c r="F501" t="s">
        <v>91</v>
      </c>
      <c r="G501" t="s">
        <v>120</v>
      </c>
    </row>
    <row r="502" spans="1:7" x14ac:dyDescent="0.55000000000000004">
      <c r="A502" t="s">
        <v>94</v>
      </c>
      <c r="B502" t="s">
        <v>98</v>
      </c>
      <c r="C502" s="14">
        <v>4730000000000000</v>
      </c>
      <c r="D502">
        <v>2060</v>
      </c>
      <c r="E502" t="s">
        <v>111</v>
      </c>
      <c r="F502" t="s">
        <v>91</v>
      </c>
      <c r="G502" t="s">
        <v>120</v>
      </c>
    </row>
    <row r="503" spans="1:7" x14ac:dyDescent="0.55000000000000004">
      <c r="A503" t="s">
        <v>99</v>
      </c>
      <c r="B503" t="s">
        <v>100</v>
      </c>
      <c r="C503" s="14">
        <v>1.39E+17</v>
      </c>
      <c r="D503">
        <v>2060</v>
      </c>
      <c r="E503" t="s">
        <v>111</v>
      </c>
      <c r="F503" t="s">
        <v>91</v>
      </c>
      <c r="G503" t="s">
        <v>120</v>
      </c>
    </row>
    <row r="504" spans="1:7" x14ac:dyDescent="0.55000000000000004">
      <c r="A504" t="s">
        <v>109</v>
      </c>
      <c r="B504" t="s">
        <v>110</v>
      </c>
      <c r="C504" s="14">
        <v>1.14E+18</v>
      </c>
      <c r="D504">
        <v>2060</v>
      </c>
      <c r="E504" t="s">
        <v>111</v>
      </c>
      <c r="F504" t="s">
        <v>91</v>
      </c>
      <c r="G504" t="s">
        <v>120</v>
      </c>
    </row>
    <row r="505" spans="1:7" x14ac:dyDescent="0.55000000000000004">
      <c r="A505" t="s">
        <v>106</v>
      </c>
      <c r="B505" t="s">
        <v>112</v>
      </c>
      <c r="D505">
        <v>2060</v>
      </c>
      <c r="E505" t="s">
        <v>111</v>
      </c>
      <c r="F505" t="s">
        <v>91</v>
      </c>
      <c r="G505" t="s">
        <v>120</v>
      </c>
    </row>
    <row r="506" spans="1:7" x14ac:dyDescent="0.55000000000000004">
      <c r="A506" t="s">
        <v>101</v>
      </c>
      <c r="B506" t="s">
        <v>103</v>
      </c>
      <c r="C506" s="14">
        <v>1.94E+16</v>
      </c>
      <c r="D506">
        <v>2060</v>
      </c>
      <c r="E506" t="s">
        <v>111</v>
      </c>
      <c r="F506" t="s">
        <v>91</v>
      </c>
      <c r="G506" t="s">
        <v>120</v>
      </c>
    </row>
    <row r="507" spans="1:7" x14ac:dyDescent="0.55000000000000004">
      <c r="A507" t="s">
        <v>104</v>
      </c>
      <c r="B507" t="s">
        <v>105</v>
      </c>
      <c r="C507" s="14">
        <v>5.36E+17</v>
      </c>
      <c r="D507">
        <v>2060</v>
      </c>
      <c r="E507" t="s">
        <v>111</v>
      </c>
      <c r="F507" t="s">
        <v>91</v>
      </c>
      <c r="G507" t="s">
        <v>120</v>
      </c>
    </row>
    <row r="508" spans="1:7" x14ac:dyDescent="0.55000000000000004">
      <c r="A508" t="s">
        <v>101</v>
      </c>
      <c r="B508" t="s">
        <v>103</v>
      </c>
      <c r="C508" s="14">
        <v>15000000000000</v>
      </c>
      <c r="D508">
        <v>2020</v>
      </c>
      <c r="E508" t="s">
        <v>90</v>
      </c>
      <c r="F508" t="s">
        <v>91</v>
      </c>
      <c r="G508" t="s">
        <v>121</v>
      </c>
    </row>
    <row r="509" spans="1:7" x14ac:dyDescent="0.55000000000000004">
      <c r="A509" t="s">
        <v>104</v>
      </c>
      <c r="B509" t="s">
        <v>105</v>
      </c>
      <c r="C509" s="14">
        <v>2442000000000000</v>
      </c>
      <c r="D509">
        <v>2020</v>
      </c>
      <c r="E509" t="s">
        <v>90</v>
      </c>
      <c r="F509" t="s">
        <v>91</v>
      </c>
      <c r="G509" t="s">
        <v>121</v>
      </c>
    </row>
    <row r="510" spans="1:7" x14ac:dyDescent="0.55000000000000004">
      <c r="A510" t="s">
        <v>101</v>
      </c>
      <c r="B510" t="s">
        <v>103</v>
      </c>
      <c r="C510" s="14">
        <v>11000000000000</v>
      </c>
      <c r="D510">
        <v>2030</v>
      </c>
      <c r="E510" t="s">
        <v>90</v>
      </c>
      <c r="F510" t="s">
        <v>91</v>
      </c>
      <c r="G510" t="s">
        <v>121</v>
      </c>
    </row>
    <row r="511" spans="1:7" x14ac:dyDescent="0.55000000000000004">
      <c r="A511" t="s">
        <v>104</v>
      </c>
      <c r="B511" t="s">
        <v>105</v>
      </c>
      <c r="C511" s="14">
        <v>190000000000000</v>
      </c>
      <c r="D511">
        <v>2030</v>
      </c>
      <c r="E511" t="s">
        <v>90</v>
      </c>
      <c r="F511" t="s">
        <v>91</v>
      </c>
      <c r="G511" t="s">
        <v>121</v>
      </c>
    </row>
    <row r="512" spans="1:7" x14ac:dyDescent="0.55000000000000004">
      <c r="A512" t="s">
        <v>101</v>
      </c>
      <c r="B512" t="s">
        <v>103</v>
      </c>
      <c r="C512" s="14">
        <v>6000000000000</v>
      </c>
      <c r="D512">
        <v>2040</v>
      </c>
      <c r="E512" t="s">
        <v>90</v>
      </c>
      <c r="F512" t="s">
        <v>91</v>
      </c>
      <c r="G512" t="s">
        <v>121</v>
      </c>
    </row>
    <row r="513" spans="1:7" x14ac:dyDescent="0.55000000000000004">
      <c r="A513" t="s">
        <v>104</v>
      </c>
      <c r="B513" t="s">
        <v>105</v>
      </c>
      <c r="C513" s="14">
        <v>2501000000000000</v>
      </c>
      <c r="D513">
        <v>2040</v>
      </c>
      <c r="E513" t="s">
        <v>90</v>
      </c>
      <c r="F513" t="s">
        <v>91</v>
      </c>
      <c r="G513" t="s">
        <v>121</v>
      </c>
    </row>
    <row r="514" spans="1:7" x14ac:dyDescent="0.55000000000000004">
      <c r="A514" t="s">
        <v>101</v>
      </c>
      <c r="B514" t="s">
        <v>103</v>
      </c>
      <c r="C514" s="14">
        <v>102000000000000</v>
      </c>
      <c r="D514">
        <v>2050</v>
      </c>
      <c r="E514" t="s">
        <v>90</v>
      </c>
      <c r="F514" t="s">
        <v>91</v>
      </c>
      <c r="G514" t="s">
        <v>121</v>
      </c>
    </row>
    <row r="515" spans="1:7" x14ac:dyDescent="0.55000000000000004">
      <c r="A515" t="s">
        <v>104</v>
      </c>
      <c r="B515" t="s">
        <v>105</v>
      </c>
      <c r="C515" s="14">
        <v>4333000000000000</v>
      </c>
      <c r="D515">
        <v>2050</v>
      </c>
      <c r="E515" t="s">
        <v>90</v>
      </c>
      <c r="F515" t="s">
        <v>91</v>
      </c>
      <c r="G515" t="s">
        <v>121</v>
      </c>
    </row>
    <row r="516" spans="1:7" x14ac:dyDescent="0.55000000000000004">
      <c r="A516" t="s">
        <v>101</v>
      </c>
      <c r="B516" t="s">
        <v>103</v>
      </c>
      <c r="C516" s="14">
        <v>140000000000000</v>
      </c>
      <c r="D516">
        <v>2060</v>
      </c>
      <c r="E516" t="s">
        <v>90</v>
      </c>
      <c r="F516" t="s">
        <v>91</v>
      </c>
      <c r="G516" t="s">
        <v>121</v>
      </c>
    </row>
    <row r="517" spans="1:7" x14ac:dyDescent="0.55000000000000004">
      <c r="A517" t="s">
        <v>104</v>
      </c>
      <c r="B517" t="s">
        <v>105</v>
      </c>
      <c r="C517" s="14">
        <v>5155000000000000</v>
      </c>
      <c r="D517">
        <v>2060</v>
      </c>
      <c r="E517" t="s">
        <v>90</v>
      </c>
      <c r="F517" t="s">
        <v>91</v>
      </c>
      <c r="G517" t="s">
        <v>121</v>
      </c>
    </row>
    <row r="518" spans="1:7" x14ac:dyDescent="0.55000000000000004">
      <c r="A518" t="s">
        <v>101</v>
      </c>
      <c r="B518" t="s">
        <v>103</v>
      </c>
      <c r="C518" s="14">
        <v>15000000000000</v>
      </c>
      <c r="D518">
        <v>2020</v>
      </c>
      <c r="E518" t="s">
        <v>111</v>
      </c>
      <c r="F518" t="s">
        <v>91</v>
      </c>
      <c r="G518" t="s">
        <v>121</v>
      </c>
    </row>
    <row r="519" spans="1:7" x14ac:dyDescent="0.55000000000000004">
      <c r="A519" t="s">
        <v>104</v>
      </c>
      <c r="B519" t="s">
        <v>105</v>
      </c>
      <c r="C519" s="14">
        <v>2442000000000000</v>
      </c>
      <c r="D519">
        <v>2020</v>
      </c>
      <c r="E519" t="s">
        <v>111</v>
      </c>
      <c r="F519" t="s">
        <v>91</v>
      </c>
      <c r="G519" t="s">
        <v>121</v>
      </c>
    </row>
    <row r="520" spans="1:7" x14ac:dyDescent="0.55000000000000004">
      <c r="A520" t="s">
        <v>101</v>
      </c>
      <c r="B520" t="s">
        <v>103</v>
      </c>
      <c r="C520" s="14">
        <v>36000000000000</v>
      </c>
      <c r="D520">
        <v>2030</v>
      </c>
      <c r="E520" t="s">
        <v>111</v>
      </c>
      <c r="F520" t="s">
        <v>91</v>
      </c>
      <c r="G520" t="s">
        <v>121</v>
      </c>
    </row>
    <row r="521" spans="1:7" x14ac:dyDescent="0.55000000000000004">
      <c r="A521" t="s">
        <v>104</v>
      </c>
      <c r="B521" t="s">
        <v>105</v>
      </c>
      <c r="C521" s="14">
        <v>2241000000000000</v>
      </c>
      <c r="D521">
        <v>2030</v>
      </c>
      <c r="E521" t="s">
        <v>111</v>
      </c>
      <c r="F521" t="s">
        <v>91</v>
      </c>
      <c r="G521" t="s">
        <v>121</v>
      </c>
    </row>
    <row r="522" spans="1:7" x14ac:dyDescent="0.55000000000000004">
      <c r="A522" t="s">
        <v>101</v>
      </c>
      <c r="B522" t="s">
        <v>103</v>
      </c>
      <c r="C522" s="14">
        <v>50000000000000</v>
      </c>
      <c r="D522">
        <v>2040</v>
      </c>
      <c r="E522" t="s">
        <v>111</v>
      </c>
      <c r="F522" t="s">
        <v>91</v>
      </c>
      <c r="G522" t="s">
        <v>121</v>
      </c>
    </row>
    <row r="523" spans="1:7" x14ac:dyDescent="0.55000000000000004">
      <c r="A523" t="s">
        <v>104</v>
      </c>
      <c r="B523" t="s">
        <v>105</v>
      </c>
      <c r="C523" s="14">
        <v>3902000000000000</v>
      </c>
      <c r="D523">
        <v>2040</v>
      </c>
      <c r="E523" t="s">
        <v>111</v>
      </c>
      <c r="F523" t="s">
        <v>91</v>
      </c>
      <c r="G523" t="s">
        <v>121</v>
      </c>
    </row>
    <row r="524" spans="1:7" x14ac:dyDescent="0.55000000000000004">
      <c r="A524" t="s">
        <v>101</v>
      </c>
      <c r="B524" t="s">
        <v>103</v>
      </c>
      <c r="C524" s="14">
        <v>102000000000000</v>
      </c>
      <c r="D524">
        <v>2050</v>
      </c>
      <c r="E524" t="s">
        <v>111</v>
      </c>
      <c r="F524" t="s">
        <v>91</v>
      </c>
      <c r="G524" t="s">
        <v>121</v>
      </c>
    </row>
    <row r="525" spans="1:7" x14ac:dyDescent="0.55000000000000004">
      <c r="A525" t="s">
        <v>104</v>
      </c>
      <c r="B525" t="s">
        <v>105</v>
      </c>
      <c r="C525" s="14">
        <v>7580000000000000</v>
      </c>
      <c r="D525">
        <v>2050</v>
      </c>
      <c r="E525" t="s">
        <v>111</v>
      </c>
      <c r="F525" t="s">
        <v>91</v>
      </c>
      <c r="G525" t="s">
        <v>121</v>
      </c>
    </row>
    <row r="526" spans="1:7" x14ac:dyDescent="0.55000000000000004">
      <c r="A526" t="s">
        <v>101</v>
      </c>
      <c r="B526" t="s">
        <v>103</v>
      </c>
      <c r="C526" s="14">
        <v>140000000000000</v>
      </c>
      <c r="D526">
        <v>2060</v>
      </c>
      <c r="E526" t="s">
        <v>111</v>
      </c>
      <c r="F526" t="s">
        <v>91</v>
      </c>
      <c r="G526" t="s">
        <v>121</v>
      </c>
    </row>
    <row r="527" spans="1:7" x14ac:dyDescent="0.55000000000000004">
      <c r="A527" t="s">
        <v>104</v>
      </c>
      <c r="B527" t="s">
        <v>105</v>
      </c>
      <c r="C527" s="14">
        <v>7604000000000000</v>
      </c>
      <c r="D527">
        <v>2060</v>
      </c>
      <c r="E527" t="s">
        <v>111</v>
      </c>
      <c r="F527" t="s">
        <v>91</v>
      </c>
      <c r="G527" t="s">
        <v>121</v>
      </c>
    </row>
    <row r="528" spans="1:7" x14ac:dyDescent="0.55000000000000004">
      <c r="A528" t="s">
        <v>88</v>
      </c>
      <c r="B528" t="s">
        <v>89</v>
      </c>
      <c r="C528" s="14">
        <v>928000000000000</v>
      </c>
      <c r="D528">
        <v>2020</v>
      </c>
      <c r="E528" t="s">
        <v>90</v>
      </c>
      <c r="F528" t="s">
        <v>91</v>
      </c>
      <c r="G528" t="s">
        <v>122</v>
      </c>
    </row>
    <row r="529" spans="1:7" x14ac:dyDescent="0.55000000000000004">
      <c r="A529" t="s">
        <v>88</v>
      </c>
      <c r="B529" t="s">
        <v>93</v>
      </c>
      <c r="C529" s="14">
        <v>6619000000000000</v>
      </c>
      <c r="D529">
        <v>2020</v>
      </c>
      <c r="E529" t="s">
        <v>90</v>
      </c>
      <c r="F529" t="s">
        <v>91</v>
      </c>
      <c r="G529" t="s">
        <v>122</v>
      </c>
    </row>
    <row r="530" spans="1:7" x14ac:dyDescent="0.55000000000000004">
      <c r="A530" t="s">
        <v>94</v>
      </c>
      <c r="B530" t="s">
        <v>96</v>
      </c>
      <c r="C530" s="14">
        <v>706000000000000</v>
      </c>
      <c r="D530">
        <v>2020</v>
      </c>
      <c r="E530" t="s">
        <v>90</v>
      </c>
      <c r="F530" t="s">
        <v>91</v>
      </c>
      <c r="G530" t="s">
        <v>122</v>
      </c>
    </row>
    <row r="531" spans="1:7" x14ac:dyDescent="0.55000000000000004">
      <c r="A531" t="s">
        <v>94</v>
      </c>
      <c r="B531" t="s">
        <v>97</v>
      </c>
      <c r="C531" s="14">
        <v>506000000000000</v>
      </c>
      <c r="D531">
        <v>2020</v>
      </c>
      <c r="E531" t="s">
        <v>90</v>
      </c>
      <c r="F531" t="s">
        <v>91</v>
      </c>
      <c r="G531" t="s">
        <v>122</v>
      </c>
    </row>
    <row r="532" spans="1:7" x14ac:dyDescent="0.55000000000000004">
      <c r="A532" t="s">
        <v>94</v>
      </c>
      <c r="B532" t="s">
        <v>98</v>
      </c>
      <c r="C532" s="14">
        <v>412000000000000</v>
      </c>
      <c r="D532">
        <v>2020</v>
      </c>
      <c r="E532" t="s">
        <v>90</v>
      </c>
      <c r="F532" t="s">
        <v>91</v>
      </c>
      <c r="G532" t="s">
        <v>122</v>
      </c>
    </row>
    <row r="533" spans="1:7" x14ac:dyDescent="0.55000000000000004">
      <c r="A533" t="s">
        <v>99</v>
      </c>
      <c r="B533" t="s">
        <v>114</v>
      </c>
      <c r="C533" s="14">
        <v>1.74E+17</v>
      </c>
      <c r="D533">
        <v>2020</v>
      </c>
      <c r="E533" t="s">
        <v>90</v>
      </c>
      <c r="F533" t="s">
        <v>91</v>
      </c>
      <c r="G533" t="s">
        <v>122</v>
      </c>
    </row>
    <row r="534" spans="1:7" x14ac:dyDescent="0.55000000000000004">
      <c r="A534" t="s">
        <v>99</v>
      </c>
      <c r="B534" t="s">
        <v>100</v>
      </c>
      <c r="C534" s="14">
        <v>5.57E+17</v>
      </c>
      <c r="D534">
        <v>2020</v>
      </c>
      <c r="E534" t="s">
        <v>90</v>
      </c>
      <c r="F534" t="s">
        <v>91</v>
      </c>
      <c r="G534" t="s">
        <v>122</v>
      </c>
    </row>
    <row r="535" spans="1:7" x14ac:dyDescent="0.55000000000000004">
      <c r="A535" t="s">
        <v>101</v>
      </c>
      <c r="B535" t="s">
        <v>102</v>
      </c>
      <c r="C535" s="14">
        <v>56000000000000</v>
      </c>
      <c r="D535">
        <v>2020</v>
      </c>
      <c r="E535" t="s">
        <v>90</v>
      </c>
      <c r="F535" t="s">
        <v>91</v>
      </c>
      <c r="G535" t="s">
        <v>122</v>
      </c>
    </row>
    <row r="536" spans="1:7" x14ac:dyDescent="0.55000000000000004">
      <c r="A536" t="s">
        <v>101</v>
      </c>
      <c r="B536" t="s">
        <v>103</v>
      </c>
      <c r="C536" s="14">
        <v>39000000000000</v>
      </c>
      <c r="D536">
        <v>2020</v>
      </c>
      <c r="E536" t="s">
        <v>90</v>
      </c>
      <c r="F536" t="s">
        <v>91</v>
      </c>
      <c r="G536" t="s">
        <v>122</v>
      </c>
    </row>
    <row r="537" spans="1:7" x14ac:dyDescent="0.55000000000000004">
      <c r="A537" t="s">
        <v>104</v>
      </c>
      <c r="B537" t="s">
        <v>105</v>
      </c>
      <c r="C537" s="14">
        <v>3.59E+16</v>
      </c>
      <c r="D537">
        <v>2020</v>
      </c>
      <c r="E537" t="s">
        <v>90</v>
      </c>
      <c r="F537" t="s">
        <v>91</v>
      </c>
      <c r="G537" t="s">
        <v>122</v>
      </c>
    </row>
    <row r="538" spans="1:7" x14ac:dyDescent="0.55000000000000004">
      <c r="A538" t="s">
        <v>88</v>
      </c>
      <c r="B538" t="s">
        <v>93</v>
      </c>
      <c r="C538" s="14">
        <v>6827000000000000</v>
      </c>
      <c r="D538">
        <v>2030</v>
      </c>
      <c r="E538" t="s">
        <v>90</v>
      </c>
      <c r="F538" t="s">
        <v>91</v>
      </c>
      <c r="G538" t="s">
        <v>122</v>
      </c>
    </row>
    <row r="539" spans="1:7" x14ac:dyDescent="0.55000000000000004">
      <c r="A539" t="s">
        <v>94</v>
      </c>
      <c r="B539" t="s">
        <v>96</v>
      </c>
      <c r="C539" s="14">
        <v>69000000000000</v>
      </c>
      <c r="D539">
        <v>2030</v>
      </c>
      <c r="E539" t="s">
        <v>90</v>
      </c>
      <c r="F539" t="s">
        <v>91</v>
      </c>
      <c r="G539" t="s">
        <v>122</v>
      </c>
    </row>
    <row r="540" spans="1:7" x14ac:dyDescent="0.55000000000000004">
      <c r="A540" t="s">
        <v>94</v>
      </c>
      <c r="B540" t="s">
        <v>97</v>
      </c>
      <c r="C540" s="14">
        <v>203000000000000</v>
      </c>
      <c r="D540">
        <v>2030</v>
      </c>
      <c r="E540" t="s">
        <v>90</v>
      </c>
      <c r="F540" t="s">
        <v>91</v>
      </c>
      <c r="G540" t="s">
        <v>122</v>
      </c>
    </row>
    <row r="541" spans="1:7" x14ac:dyDescent="0.55000000000000004">
      <c r="A541" t="s">
        <v>94</v>
      </c>
      <c r="B541" t="s">
        <v>98</v>
      </c>
      <c r="C541" s="14">
        <v>412000000000000</v>
      </c>
      <c r="D541">
        <v>2030</v>
      </c>
      <c r="E541" t="s">
        <v>90</v>
      </c>
      <c r="F541" t="s">
        <v>91</v>
      </c>
      <c r="G541" t="s">
        <v>122</v>
      </c>
    </row>
    <row r="542" spans="1:7" x14ac:dyDescent="0.55000000000000004">
      <c r="A542" t="s">
        <v>99</v>
      </c>
      <c r="B542" t="s">
        <v>114</v>
      </c>
      <c r="C542" s="14">
        <v>1.74E+17</v>
      </c>
      <c r="D542">
        <v>2030</v>
      </c>
      <c r="E542" t="s">
        <v>90</v>
      </c>
      <c r="F542" t="s">
        <v>91</v>
      </c>
      <c r="G542" t="s">
        <v>122</v>
      </c>
    </row>
    <row r="543" spans="1:7" x14ac:dyDescent="0.55000000000000004">
      <c r="A543" t="s">
        <v>99</v>
      </c>
      <c r="B543" t="s">
        <v>100</v>
      </c>
      <c r="C543" s="14">
        <v>5.61E+17</v>
      </c>
      <c r="D543">
        <v>2030</v>
      </c>
      <c r="E543" t="s">
        <v>90</v>
      </c>
      <c r="F543" t="s">
        <v>91</v>
      </c>
      <c r="G543" t="s">
        <v>122</v>
      </c>
    </row>
    <row r="544" spans="1:7" x14ac:dyDescent="0.55000000000000004">
      <c r="A544" t="s">
        <v>106</v>
      </c>
      <c r="B544" t="s">
        <v>107</v>
      </c>
      <c r="C544" s="14">
        <v>22000000000000</v>
      </c>
      <c r="D544">
        <v>2030</v>
      </c>
      <c r="E544" t="s">
        <v>90</v>
      </c>
      <c r="F544" t="s">
        <v>91</v>
      </c>
      <c r="G544" t="s">
        <v>122</v>
      </c>
    </row>
    <row r="545" spans="1:7" x14ac:dyDescent="0.55000000000000004">
      <c r="A545" t="s">
        <v>101</v>
      </c>
      <c r="B545" t="s">
        <v>102</v>
      </c>
      <c r="C545" s="14">
        <v>56000000000000</v>
      </c>
      <c r="D545">
        <v>2030</v>
      </c>
      <c r="E545" t="s">
        <v>90</v>
      </c>
      <c r="F545" t="s">
        <v>91</v>
      </c>
      <c r="G545" t="s">
        <v>122</v>
      </c>
    </row>
    <row r="546" spans="1:7" x14ac:dyDescent="0.55000000000000004">
      <c r="A546" t="s">
        <v>101</v>
      </c>
      <c r="B546" t="s">
        <v>103</v>
      </c>
      <c r="C546" s="14">
        <v>1910000000000000</v>
      </c>
      <c r="D546">
        <v>2030</v>
      </c>
      <c r="E546" t="s">
        <v>90</v>
      </c>
      <c r="F546" t="s">
        <v>91</v>
      </c>
      <c r="G546" t="s">
        <v>122</v>
      </c>
    </row>
    <row r="547" spans="1:7" x14ac:dyDescent="0.55000000000000004">
      <c r="A547" t="s">
        <v>104</v>
      </c>
      <c r="B547" t="s">
        <v>105</v>
      </c>
      <c r="C547" s="14">
        <v>3.59E+16</v>
      </c>
      <c r="D547">
        <v>2030</v>
      </c>
      <c r="E547" t="s">
        <v>90</v>
      </c>
      <c r="F547" t="s">
        <v>91</v>
      </c>
      <c r="G547" t="s">
        <v>122</v>
      </c>
    </row>
    <row r="548" spans="1:7" x14ac:dyDescent="0.55000000000000004">
      <c r="A548" t="s">
        <v>88</v>
      </c>
      <c r="B548" t="s">
        <v>93</v>
      </c>
      <c r="C548" s="14">
        <v>6231000000000000</v>
      </c>
      <c r="D548">
        <v>2040</v>
      </c>
      <c r="E548" t="s">
        <v>90</v>
      </c>
      <c r="F548" t="s">
        <v>91</v>
      </c>
      <c r="G548" t="s">
        <v>122</v>
      </c>
    </row>
    <row r="549" spans="1:7" x14ac:dyDescent="0.55000000000000004">
      <c r="A549" t="s">
        <v>94</v>
      </c>
      <c r="B549" t="s">
        <v>96</v>
      </c>
      <c r="C549" s="14">
        <v>35000000000000</v>
      </c>
      <c r="D549">
        <v>2040</v>
      </c>
      <c r="E549" t="s">
        <v>90</v>
      </c>
      <c r="F549" t="s">
        <v>91</v>
      </c>
      <c r="G549" t="s">
        <v>122</v>
      </c>
    </row>
    <row r="550" spans="1:7" x14ac:dyDescent="0.55000000000000004">
      <c r="A550" t="s">
        <v>94</v>
      </c>
      <c r="B550" t="s">
        <v>97</v>
      </c>
      <c r="C550" s="14">
        <v>101000000000000</v>
      </c>
      <c r="D550">
        <v>2040</v>
      </c>
      <c r="E550" t="s">
        <v>90</v>
      </c>
      <c r="F550" t="s">
        <v>91</v>
      </c>
      <c r="G550" t="s">
        <v>122</v>
      </c>
    </row>
    <row r="551" spans="1:7" x14ac:dyDescent="0.55000000000000004">
      <c r="A551" t="s">
        <v>94</v>
      </c>
      <c r="B551" t="s">
        <v>98</v>
      </c>
      <c r="C551" s="14">
        <v>412000000000000</v>
      </c>
      <c r="D551">
        <v>2040</v>
      </c>
      <c r="E551" t="s">
        <v>90</v>
      </c>
      <c r="F551" t="s">
        <v>91</v>
      </c>
      <c r="G551" t="s">
        <v>122</v>
      </c>
    </row>
    <row r="552" spans="1:7" x14ac:dyDescent="0.55000000000000004">
      <c r="A552" t="s">
        <v>99</v>
      </c>
      <c r="B552" t="s">
        <v>114</v>
      </c>
      <c r="C552" s="14">
        <v>1.74E+17</v>
      </c>
      <c r="D552">
        <v>2040</v>
      </c>
      <c r="E552" t="s">
        <v>90</v>
      </c>
      <c r="F552" t="s">
        <v>91</v>
      </c>
      <c r="G552" t="s">
        <v>122</v>
      </c>
    </row>
    <row r="553" spans="1:7" x14ac:dyDescent="0.55000000000000004">
      <c r="A553" t="s">
        <v>99</v>
      </c>
      <c r="B553" t="s">
        <v>100</v>
      </c>
      <c r="C553" s="14">
        <v>5.82E+17</v>
      </c>
      <c r="D553">
        <v>2040</v>
      </c>
      <c r="E553" t="s">
        <v>90</v>
      </c>
      <c r="F553" t="s">
        <v>91</v>
      </c>
      <c r="G553" t="s">
        <v>122</v>
      </c>
    </row>
    <row r="554" spans="1:7" x14ac:dyDescent="0.55000000000000004">
      <c r="A554" t="s">
        <v>106</v>
      </c>
      <c r="B554" t="s">
        <v>107</v>
      </c>
      <c r="C554" s="14">
        <v>2000000000000</v>
      </c>
      <c r="D554">
        <v>2040</v>
      </c>
      <c r="E554" t="s">
        <v>90</v>
      </c>
      <c r="F554" t="s">
        <v>91</v>
      </c>
      <c r="G554" t="s">
        <v>122</v>
      </c>
    </row>
    <row r="555" spans="1:7" x14ac:dyDescent="0.55000000000000004">
      <c r="A555" t="s">
        <v>101</v>
      </c>
      <c r="B555" t="s">
        <v>102</v>
      </c>
      <c r="C555" s="14">
        <v>56000000000000</v>
      </c>
      <c r="D555">
        <v>2040</v>
      </c>
      <c r="E555" t="s">
        <v>90</v>
      </c>
      <c r="F555" t="s">
        <v>91</v>
      </c>
      <c r="G555" t="s">
        <v>122</v>
      </c>
    </row>
    <row r="556" spans="1:7" x14ac:dyDescent="0.55000000000000004">
      <c r="A556" t="s">
        <v>101</v>
      </c>
      <c r="B556" t="s">
        <v>103</v>
      </c>
      <c r="C556" s="14">
        <v>3156000000000000</v>
      </c>
      <c r="D556">
        <v>2040</v>
      </c>
      <c r="E556" t="s">
        <v>90</v>
      </c>
      <c r="F556" t="s">
        <v>91</v>
      </c>
      <c r="G556" t="s">
        <v>122</v>
      </c>
    </row>
    <row r="557" spans="1:7" x14ac:dyDescent="0.55000000000000004">
      <c r="A557" t="s">
        <v>104</v>
      </c>
      <c r="B557" t="s">
        <v>105</v>
      </c>
      <c r="C557" s="14">
        <v>7.42E+16</v>
      </c>
      <c r="D557">
        <v>2040</v>
      </c>
      <c r="E557" t="s">
        <v>90</v>
      </c>
      <c r="F557" t="s">
        <v>91</v>
      </c>
      <c r="G557" t="s">
        <v>122</v>
      </c>
    </row>
    <row r="558" spans="1:7" x14ac:dyDescent="0.55000000000000004">
      <c r="A558" t="s">
        <v>88</v>
      </c>
      <c r="B558" t="s">
        <v>93</v>
      </c>
      <c r="C558" s="14">
        <v>6097000000000000</v>
      </c>
      <c r="D558">
        <v>2050</v>
      </c>
      <c r="E558" t="s">
        <v>90</v>
      </c>
      <c r="F558" t="s">
        <v>91</v>
      </c>
      <c r="G558" t="s">
        <v>122</v>
      </c>
    </row>
    <row r="559" spans="1:7" x14ac:dyDescent="0.55000000000000004">
      <c r="A559" t="s">
        <v>94</v>
      </c>
      <c r="B559" t="s">
        <v>98</v>
      </c>
      <c r="C559" s="14">
        <v>412000000000000</v>
      </c>
      <c r="D559">
        <v>2050</v>
      </c>
      <c r="E559" t="s">
        <v>90</v>
      </c>
      <c r="F559" t="s">
        <v>91</v>
      </c>
      <c r="G559" t="s">
        <v>122</v>
      </c>
    </row>
    <row r="560" spans="1:7" x14ac:dyDescent="0.55000000000000004">
      <c r="A560" t="s">
        <v>99</v>
      </c>
      <c r="B560" t="s">
        <v>114</v>
      </c>
      <c r="C560" s="14">
        <v>1.74E+17</v>
      </c>
      <c r="D560">
        <v>2050</v>
      </c>
      <c r="E560" t="s">
        <v>90</v>
      </c>
      <c r="F560" t="s">
        <v>91</v>
      </c>
      <c r="G560" t="s">
        <v>122</v>
      </c>
    </row>
    <row r="561" spans="1:7" x14ac:dyDescent="0.55000000000000004">
      <c r="A561" t="s">
        <v>99</v>
      </c>
      <c r="B561" t="s">
        <v>100</v>
      </c>
      <c r="C561" s="14">
        <v>5.82E+17</v>
      </c>
      <c r="D561">
        <v>2050</v>
      </c>
      <c r="E561" t="s">
        <v>90</v>
      </c>
      <c r="F561" t="s">
        <v>91</v>
      </c>
      <c r="G561" t="s">
        <v>122</v>
      </c>
    </row>
    <row r="562" spans="1:7" x14ac:dyDescent="0.55000000000000004">
      <c r="A562" t="s">
        <v>109</v>
      </c>
      <c r="B562" t="s">
        <v>110</v>
      </c>
      <c r="C562" s="14">
        <v>8.59E+16</v>
      </c>
      <c r="D562">
        <v>2050</v>
      </c>
      <c r="E562" t="s">
        <v>90</v>
      </c>
      <c r="F562" t="s">
        <v>91</v>
      </c>
      <c r="G562" t="s">
        <v>122</v>
      </c>
    </row>
    <row r="563" spans="1:7" x14ac:dyDescent="0.55000000000000004">
      <c r="A563" t="s">
        <v>101</v>
      </c>
      <c r="B563" t="s">
        <v>102</v>
      </c>
      <c r="C563" s="14">
        <v>56000000000000</v>
      </c>
      <c r="D563">
        <v>2050</v>
      </c>
      <c r="E563" t="s">
        <v>90</v>
      </c>
      <c r="F563" t="s">
        <v>91</v>
      </c>
      <c r="G563" t="s">
        <v>122</v>
      </c>
    </row>
    <row r="564" spans="1:7" x14ac:dyDescent="0.55000000000000004">
      <c r="A564" t="s">
        <v>101</v>
      </c>
      <c r="B564" t="s">
        <v>103</v>
      </c>
      <c r="C564" s="14">
        <v>6926000000000000</v>
      </c>
      <c r="D564">
        <v>2050</v>
      </c>
      <c r="E564" t="s">
        <v>90</v>
      </c>
      <c r="F564" t="s">
        <v>91</v>
      </c>
      <c r="G564" t="s">
        <v>122</v>
      </c>
    </row>
    <row r="565" spans="1:7" x14ac:dyDescent="0.55000000000000004">
      <c r="A565" t="s">
        <v>104</v>
      </c>
      <c r="B565" t="s">
        <v>105</v>
      </c>
      <c r="C565" s="14">
        <v>1.18E+17</v>
      </c>
      <c r="D565">
        <v>2050</v>
      </c>
      <c r="E565" t="s">
        <v>90</v>
      </c>
      <c r="F565" t="s">
        <v>91</v>
      </c>
      <c r="G565" t="s">
        <v>122</v>
      </c>
    </row>
    <row r="566" spans="1:7" x14ac:dyDescent="0.55000000000000004">
      <c r="A566" t="s">
        <v>88</v>
      </c>
      <c r="B566" t="s">
        <v>93</v>
      </c>
      <c r="C566" s="14">
        <v>1.48E+16</v>
      </c>
      <c r="D566">
        <v>2060</v>
      </c>
      <c r="E566" t="s">
        <v>90</v>
      </c>
      <c r="F566" t="s">
        <v>91</v>
      </c>
      <c r="G566" t="s">
        <v>122</v>
      </c>
    </row>
    <row r="567" spans="1:7" x14ac:dyDescent="0.55000000000000004">
      <c r="A567" t="s">
        <v>94</v>
      </c>
      <c r="B567" t="s">
        <v>98</v>
      </c>
      <c r="C567" s="14">
        <v>412000000000000</v>
      </c>
      <c r="D567">
        <v>2060</v>
      </c>
      <c r="E567" t="s">
        <v>90</v>
      </c>
      <c r="F567" t="s">
        <v>91</v>
      </c>
      <c r="G567" t="s">
        <v>122</v>
      </c>
    </row>
    <row r="568" spans="1:7" x14ac:dyDescent="0.55000000000000004">
      <c r="A568" t="s">
        <v>99</v>
      </c>
      <c r="B568" t="s">
        <v>114</v>
      </c>
      <c r="C568" s="14">
        <v>1.74E+17</v>
      </c>
      <c r="D568">
        <v>2060</v>
      </c>
      <c r="E568" t="s">
        <v>90</v>
      </c>
      <c r="F568" t="s">
        <v>91</v>
      </c>
      <c r="G568" t="s">
        <v>122</v>
      </c>
    </row>
    <row r="569" spans="1:7" x14ac:dyDescent="0.55000000000000004">
      <c r="A569" t="s">
        <v>99</v>
      </c>
      <c r="B569" t="s">
        <v>100</v>
      </c>
      <c r="C569" s="14">
        <v>5.82E+17</v>
      </c>
      <c r="D569">
        <v>2060</v>
      </c>
      <c r="E569" t="s">
        <v>90</v>
      </c>
      <c r="F569" t="s">
        <v>91</v>
      </c>
      <c r="G569" t="s">
        <v>122</v>
      </c>
    </row>
    <row r="570" spans="1:7" x14ac:dyDescent="0.55000000000000004">
      <c r="A570" t="s">
        <v>109</v>
      </c>
      <c r="B570" t="s">
        <v>110</v>
      </c>
      <c r="C570" s="14">
        <v>4.85E+17</v>
      </c>
      <c r="D570">
        <v>2060</v>
      </c>
      <c r="E570" t="s">
        <v>90</v>
      </c>
      <c r="F570" t="s">
        <v>91</v>
      </c>
      <c r="G570" t="s">
        <v>122</v>
      </c>
    </row>
    <row r="571" spans="1:7" x14ac:dyDescent="0.55000000000000004">
      <c r="A571" t="s">
        <v>101</v>
      </c>
      <c r="B571" t="s">
        <v>102</v>
      </c>
      <c r="C571" s="14">
        <v>56000000000000</v>
      </c>
      <c r="D571">
        <v>2060</v>
      </c>
      <c r="E571" t="s">
        <v>90</v>
      </c>
      <c r="F571" t="s">
        <v>91</v>
      </c>
      <c r="G571" t="s">
        <v>122</v>
      </c>
    </row>
    <row r="572" spans="1:7" x14ac:dyDescent="0.55000000000000004">
      <c r="A572" t="s">
        <v>101</v>
      </c>
      <c r="B572" t="s">
        <v>103</v>
      </c>
      <c r="C572" s="14">
        <v>9445000000000000</v>
      </c>
      <c r="D572">
        <v>2060</v>
      </c>
      <c r="E572" t="s">
        <v>90</v>
      </c>
      <c r="F572" t="s">
        <v>91</v>
      </c>
      <c r="G572" t="s">
        <v>122</v>
      </c>
    </row>
    <row r="573" spans="1:7" x14ac:dyDescent="0.55000000000000004">
      <c r="A573" t="s">
        <v>104</v>
      </c>
      <c r="B573" t="s">
        <v>105</v>
      </c>
      <c r="C573" s="14">
        <v>8.79E+16</v>
      </c>
      <c r="D573">
        <v>2060</v>
      </c>
      <c r="E573" t="s">
        <v>90</v>
      </c>
      <c r="F573" t="s">
        <v>91</v>
      </c>
      <c r="G573" t="s">
        <v>122</v>
      </c>
    </row>
    <row r="574" spans="1:7" x14ac:dyDescent="0.55000000000000004">
      <c r="A574" t="s">
        <v>88</v>
      </c>
      <c r="B574" t="s">
        <v>89</v>
      </c>
      <c r="C574" s="14">
        <v>928000000000000</v>
      </c>
      <c r="D574">
        <v>2020</v>
      </c>
      <c r="E574" t="s">
        <v>111</v>
      </c>
      <c r="F574" t="s">
        <v>91</v>
      </c>
      <c r="G574" t="s">
        <v>122</v>
      </c>
    </row>
    <row r="575" spans="1:7" x14ac:dyDescent="0.55000000000000004">
      <c r="A575" t="s">
        <v>88</v>
      </c>
      <c r="B575" t="s">
        <v>93</v>
      </c>
      <c r="C575" s="14">
        <v>6619000000000000</v>
      </c>
      <c r="D575">
        <v>2020</v>
      </c>
      <c r="E575" t="s">
        <v>111</v>
      </c>
      <c r="F575" t="s">
        <v>91</v>
      </c>
      <c r="G575" t="s">
        <v>122</v>
      </c>
    </row>
    <row r="576" spans="1:7" x14ac:dyDescent="0.55000000000000004">
      <c r="A576" t="s">
        <v>94</v>
      </c>
      <c r="B576" t="s">
        <v>96</v>
      </c>
      <c r="C576" s="14">
        <v>706000000000000</v>
      </c>
      <c r="D576">
        <v>2020</v>
      </c>
      <c r="E576" t="s">
        <v>111</v>
      </c>
      <c r="F576" t="s">
        <v>91</v>
      </c>
      <c r="G576" t="s">
        <v>122</v>
      </c>
    </row>
    <row r="577" spans="1:7" x14ac:dyDescent="0.55000000000000004">
      <c r="A577" t="s">
        <v>94</v>
      </c>
      <c r="B577" t="s">
        <v>97</v>
      </c>
      <c r="C577" s="14">
        <v>506000000000000</v>
      </c>
      <c r="D577">
        <v>2020</v>
      </c>
      <c r="E577" t="s">
        <v>111</v>
      </c>
      <c r="F577" t="s">
        <v>91</v>
      </c>
      <c r="G577" t="s">
        <v>122</v>
      </c>
    </row>
    <row r="578" spans="1:7" x14ac:dyDescent="0.55000000000000004">
      <c r="A578" t="s">
        <v>94</v>
      </c>
      <c r="B578" t="s">
        <v>98</v>
      </c>
      <c r="C578" s="14">
        <v>412000000000000</v>
      </c>
      <c r="D578">
        <v>2020</v>
      </c>
      <c r="E578" t="s">
        <v>111</v>
      </c>
      <c r="F578" t="s">
        <v>91</v>
      </c>
      <c r="G578" t="s">
        <v>122</v>
      </c>
    </row>
    <row r="579" spans="1:7" x14ac:dyDescent="0.55000000000000004">
      <c r="A579" t="s">
        <v>99</v>
      </c>
      <c r="B579" t="s">
        <v>114</v>
      </c>
      <c r="C579" s="14">
        <v>1.74E+17</v>
      </c>
      <c r="D579">
        <v>2020</v>
      </c>
      <c r="E579" t="s">
        <v>111</v>
      </c>
      <c r="F579" t="s">
        <v>91</v>
      </c>
      <c r="G579" t="s">
        <v>122</v>
      </c>
    </row>
    <row r="580" spans="1:7" x14ac:dyDescent="0.55000000000000004">
      <c r="A580" t="s">
        <v>99</v>
      </c>
      <c r="B580" t="s">
        <v>100</v>
      </c>
      <c r="C580" s="14">
        <v>5.57E+17</v>
      </c>
      <c r="D580">
        <v>2020</v>
      </c>
      <c r="E580" t="s">
        <v>111</v>
      </c>
      <c r="F580" t="s">
        <v>91</v>
      </c>
      <c r="G580" t="s">
        <v>122</v>
      </c>
    </row>
    <row r="581" spans="1:7" x14ac:dyDescent="0.55000000000000004">
      <c r="A581" t="s">
        <v>101</v>
      </c>
      <c r="B581" t="s">
        <v>102</v>
      </c>
      <c r="C581" s="14">
        <v>47000000000000</v>
      </c>
      <c r="D581">
        <v>2020</v>
      </c>
      <c r="E581" t="s">
        <v>111</v>
      </c>
      <c r="F581" t="s">
        <v>91</v>
      </c>
      <c r="G581" t="s">
        <v>122</v>
      </c>
    </row>
    <row r="582" spans="1:7" x14ac:dyDescent="0.55000000000000004">
      <c r="A582" t="s">
        <v>101</v>
      </c>
      <c r="B582" t="s">
        <v>103</v>
      </c>
      <c r="C582" s="14">
        <v>39000000000000</v>
      </c>
      <c r="D582">
        <v>2020</v>
      </c>
      <c r="E582" t="s">
        <v>111</v>
      </c>
      <c r="F582" t="s">
        <v>91</v>
      </c>
      <c r="G582" t="s">
        <v>122</v>
      </c>
    </row>
    <row r="583" spans="1:7" x14ac:dyDescent="0.55000000000000004">
      <c r="A583" t="s">
        <v>104</v>
      </c>
      <c r="B583" t="s">
        <v>105</v>
      </c>
      <c r="C583" s="14">
        <v>2.78E+16</v>
      </c>
      <c r="D583">
        <v>2020</v>
      </c>
      <c r="E583" t="s">
        <v>111</v>
      </c>
      <c r="F583" t="s">
        <v>91</v>
      </c>
      <c r="G583" t="s">
        <v>122</v>
      </c>
    </row>
    <row r="584" spans="1:7" x14ac:dyDescent="0.55000000000000004">
      <c r="A584" t="s">
        <v>88</v>
      </c>
      <c r="B584" t="s">
        <v>89</v>
      </c>
      <c r="C584" s="14">
        <v>98000000000000</v>
      </c>
      <c r="D584">
        <v>2030</v>
      </c>
      <c r="E584" t="s">
        <v>111</v>
      </c>
      <c r="F584" t="s">
        <v>91</v>
      </c>
      <c r="G584" t="s">
        <v>122</v>
      </c>
    </row>
    <row r="585" spans="1:7" x14ac:dyDescent="0.55000000000000004">
      <c r="A585" t="s">
        <v>88</v>
      </c>
      <c r="B585" t="s">
        <v>93</v>
      </c>
      <c r="C585" s="14">
        <v>6827000000000000</v>
      </c>
      <c r="D585">
        <v>2030</v>
      </c>
      <c r="E585" t="s">
        <v>111</v>
      </c>
      <c r="F585" t="s">
        <v>91</v>
      </c>
      <c r="G585" t="s">
        <v>122</v>
      </c>
    </row>
    <row r="586" spans="1:7" x14ac:dyDescent="0.55000000000000004">
      <c r="A586" t="s">
        <v>94</v>
      </c>
      <c r="B586" t="s">
        <v>96</v>
      </c>
      <c r="C586" s="14">
        <v>69000000000000</v>
      </c>
      <c r="D586">
        <v>2030</v>
      </c>
      <c r="E586" t="s">
        <v>111</v>
      </c>
      <c r="F586" t="s">
        <v>91</v>
      </c>
      <c r="G586" t="s">
        <v>122</v>
      </c>
    </row>
    <row r="587" spans="1:7" x14ac:dyDescent="0.55000000000000004">
      <c r="A587" t="s">
        <v>94</v>
      </c>
      <c r="B587" t="s">
        <v>97</v>
      </c>
      <c r="C587" s="14">
        <v>203000000000000</v>
      </c>
      <c r="D587">
        <v>2030</v>
      </c>
      <c r="E587" t="s">
        <v>111</v>
      </c>
      <c r="F587" t="s">
        <v>91</v>
      </c>
      <c r="G587" t="s">
        <v>122</v>
      </c>
    </row>
    <row r="588" spans="1:7" x14ac:dyDescent="0.55000000000000004">
      <c r="A588" t="s">
        <v>94</v>
      </c>
      <c r="B588" t="s">
        <v>98</v>
      </c>
      <c r="C588" s="14">
        <v>412000000000000</v>
      </c>
      <c r="D588">
        <v>2030</v>
      </c>
      <c r="E588" t="s">
        <v>111</v>
      </c>
      <c r="F588" t="s">
        <v>91</v>
      </c>
      <c r="G588" t="s">
        <v>122</v>
      </c>
    </row>
    <row r="589" spans="1:7" x14ac:dyDescent="0.55000000000000004">
      <c r="A589" t="s">
        <v>99</v>
      </c>
      <c r="B589" t="s">
        <v>114</v>
      </c>
      <c r="C589" s="14">
        <v>1.74E+17</v>
      </c>
      <c r="D589">
        <v>2030</v>
      </c>
      <c r="E589" t="s">
        <v>111</v>
      </c>
      <c r="F589" t="s">
        <v>91</v>
      </c>
      <c r="G589" t="s">
        <v>122</v>
      </c>
    </row>
    <row r="590" spans="1:7" x14ac:dyDescent="0.55000000000000004">
      <c r="A590" t="s">
        <v>99</v>
      </c>
      <c r="B590" t="s">
        <v>100</v>
      </c>
      <c r="C590" s="14">
        <v>5.61E+17</v>
      </c>
      <c r="D590">
        <v>2030</v>
      </c>
      <c r="E590" t="s">
        <v>111</v>
      </c>
      <c r="F590" t="s">
        <v>91</v>
      </c>
      <c r="G590" t="s">
        <v>122</v>
      </c>
    </row>
    <row r="591" spans="1:7" x14ac:dyDescent="0.55000000000000004">
      <c r="A591" t="s">
        <v>106</v>
      </c>
      <c r="B591" t="s">
        <v>107</v>
      </c>
      <c r="C591" s="14">
        <v>22000000000000</v>
      </c>
      <c r="D591">
        <v>2030</v>
      </c>
      <c r="E591" t="s">
        <v>111</v>
      </c>
      <c r="F591" t="s">
        <v>91</v>
      </c>
      <c r="G591" t="s">
        <v>122</v>
      </c>
    </row>
    <row r="592" spans="1:7" x14ac:dyDescent="0.55000000000000004">
      <c r="A592" t="s">
        <v>101</v>
      </c>
      <c r="B592" t="s">
        <v>102</v>
      </c>
      <c r="C592" s="14">
        <v>56000000000000</v>
      </c>
      <c r="D592">
        <v>2030</v>
      </c>
      <c r="E592" t="s">
        <v>111</v>
      </c>
      <c r="F592" t="s">
        <v>91</v>
      </c>
      <c r="G592" t="s">
        <v>122</v>
      </c>
    </row>
    <row r="593" spans="1:7" x14ac:dyDescent="0.55000000000000004">
      <c r="A593" t="s">
        <v>101</v>
      </c>
      <c r="B593" t="s">
        <v>103</v>
      </c>
      <c r="C593" s="14">
        <v>1910000000000000</v>
      </c>
      <c r="D593">
        <v>2030</v>
      </c>
      <c r="E593" t="s">
        <v>111</v>
      </c>
      <c r="F593" t="s">
        <v>91</v>
      </c>
      <c r="G593" t="s">
        <v>122</v>
      </c>
    </row>
    <row r="594" spans="1:7" x14ac:dyDescent="0.55000000000000004">
      <c r="A594" t="s">
        <v>104</v>
      </c>
      <c r="B594" t="s">
        <v>105</v>
      </c>
      <c r="C594" s="14">
        <v>4.83E+16</v>
      </c>
      <c r="D594">
        <v>2030</v>
      </c>
      <c r="E594" t="s">
        <v>111</v>
      </c>
      <c r="F594" t="s">
        <v>91</v>
      </c>
      <c r="G594" t="s">
        <v>122</v>
      </c>
    </row>
    <row r="595" spans="1:7" x14ac:dyDescent="0.55000000000000004">
      <c r="A595" t="s">
        <v>88</v>
      </c>
      <c r="B595" t="s">
        <v>93</v>
      </c>
      <c r="C595" s="14">
        <v>1.42E+16</v>
      </c>
      <c r="D595">
        <v>2040</v>
      </c>
      <c r="E595" t="s">
        <v>111</v>
      </c>
      <c r="F595" t="s">
        <v>91</v>
      </c>
      <c r="G595" t="s">
        <v>122</v>
      </c>
    </row>
    <row r="596" spans="1:7" x14ac:dyDescent="0.55000000000000004">
      <c r="A596" t="s">
        <v>94</v>
      </c>
      <c r="B596" t="s">
        <v>96</v>
      </c>
      <c r="C596" s="14">
        <v>35000000000000</v>
      </c>
      <c r="D596">
        <v>2040</v>
      </c>
      <c r="E596" t="s">
        <v>111</v>
      </c>
      <c r="F596" t="s">
        <v>91</v>
      </c>
      <c r="G596" t="s">
        <v>122</v>
      </c>
    </row>
    <row r="597" spans="1:7" x14ac:dyDescent="0.55000000000000004">
      <c r="A597" t="s">
        <v>94</v>
      </c>
      <c r="B597" t="s">
        <v>97</v>
      </c>
      <c r="C597" s="14">
        <v>101000000000000</v>
      </c>
      <c r="D597">
        <v>2040</v>
      </c>
      <c r="E597" t="s">
        <v>111</v>
      </c>
      <c r="F597" t="s">
        <v>91</v>
      </c>
      <c r="G597" t="s">
        <v>122</v>
      </c>
    </row>
    <row r="598" spans="1:7" x14ac:dyDescent="0.55000000000000004">
      <c r="A598" t="s">
        <v>94</v>
      </c>
      <c r="B598" t="s">
        <v>98</v>
      </c>
      <c r="C598" s="14">
        <v>412000000000000</v>
      </c>
      <c r="D598">
        <v>2040</v>
      </c>
      <c r="E598" t="s">
        <v>111</v>
      </c>
      <c r="F598" t="s">
        <v>91</v>
      </c>
      <c r="G598" t="s">
        <v>122</v>
      </c>
    </row>
    <row r="599" spans="1:7" x14ac:dyDescent="0.55000000000000004">
      <c r="A599" t="s">
        <v>99</v>
      </c>
      <c r="B599" t="s">
        <v>114</v>
      </c>
      <c r="C599" s="14">
        <v>1.74E+17</v>
      </c>
      <c r="D599">
        <v>2040</v>
      </c>
      <c r="E599" t="s">
        <v>111</v>
      </c>
      <c r="F599" t="s">
        <v>91</v>
      </c>
      <c r="G599" t="s">
        <v>122</v>
      </c>
    </row>
    <row r="600" spans="1:7" x14ac:dyDescent="0.55000000000000004">
      <c r="A600" t="s">
        <v>99</v>
      </c>
      <c r="B600" t="s">
        <v>100</v>
      </c>
      <c r="C600" s="14">
        <v>5.82E+17</v>
      </c>
      <c r="D600">
        <v>2040</v>
      </c>
      <c r="E600" t="s">
        <v>111</v>
      </c>
      <c r="F600" t="s">
        <v>91</v>
      </c>
      <c r="G600" t="s">
        <v>122</v>
      </c>
    </row>
    <row r="601" spans="1:7" x14ac:dyDescent="0.55000000000000004">
      <c r="A601" t="s">
        <v>106</v>
      </c>
      <c r="B601" t="s">
        <v>107</v>
      </c>
      <c r="C601" s="14">
        <v>2000000000000</v>
      </c>
      <c r="D601">
        <v>2040</v>
      </c>
      <c r="E601" t="s">
        <v>111</v>
      </c>
      <c r="F601" t="s">
        <v>91</v>
      </c>
      <c r="G601" t="s">
        <v>122</v>
      </c>
    </row>
    <row r="602" spans="1:7" x14ac:dyDescent="0.55000000000000004">
      <c r="A602" t="s">
        <v>101</v>
      </c>
      <c r="B602" t="s">
        <v>102</v>
      </c>
      <c r="C602" s="14">
        <v>56000000000000</v>
      </c>
      <c r="D602">
        <v>2040</v>
      </c>
      <c r="E602" t="s">
        <v>111</v>
      </c>
      <c r="F602" t="s">
        <v>91</v>
      </c>
      <c r="G602" t="s">
        <v>122</v>
      </c>
    </row>
    <row r="603" spans="1:7" x14ac:dyDescent="0.55000000000000004">
      <c r="A603" t="s">
        <v>101</v>
      </c>
      <c r="B603" t="s">
        <v>103</v>
      </c>
      <c r="C603" s="14">
        <v>4417000000000000</v>
      </c>
      <c r="D603">
        <v>2040</v>
      </c>
      <c r="E603" t="s">
        <v>111</v>
      </c>
      <c r="F603" t="s">
        <v>91</v>
      </c>
      <c r="G603" t="s">
        <v>122</v>
      </c>
    </row>
    <row r="604" spans="1:7" x14ac:dyDescent="0.55000000000000004">
      <c r="A604" t="s">
        <v>104</v>
      </c>
      <c r="B604" t="s">
        <v>105</v>
      </c>
      <c r="C604" s="14">
        <v>1.18E+17</v>
      </c>
      <c r="D604">
        <v>2040</v>
      </c>
      <c r="E604" t="s">
        <v>111</v>
      </c>
      <c r="F604" t="s">
        <v>91</v>
      </c>
      <c r="G604" t="s">
        <v>122</v>
      </c>
    </row>
    <row r="605" spans="1:7" x14ac:dyDescent="0.55000000000000004">
      <c r="A605" t="s">
        <v>88</v>
      </c>
      <c r="B605" t="s">
        <v>93</v>
      </c>
      <c r="C605" s="14">
        <v>3.24E+16</v>
      </c>
      <c r="D605">
        <v>2050</v>
      </c>
      <c r="E605" t="s">
        <v>111</v>
      </c>
      <c r="F605" t="s">
        <v>91</v>
      </c>
      <c r="G605" t="s">
        <v>122</v>
      </c>
    </row>
    <row r="606" spans="1:7" x14ac:dyDescent="0.55000000000000004">
      <c r="A606" t="s">
        <v>94</v>
      </c>
      <c r="B606" t="s">
        <v>98</v>
      </c>
      <c r="C606" s="14">
        <v>412000000000000</v>
      </c>
      <c r="D606">
        <v>2050</v>
      </c>
      <c r="E606" t="s">
        <v>111</v>
      </c>
      <c r="F606" t="s">
        <v>91</v>
      </c>
      <c r="G606" t="s">
        <v>122</v>
      </c>
    </row>
    <row r="607" spans="1:7" x14ac:dyDescent="0.55000000000000004">
      <c r="A607" t="s">
        <v>99</v>
      </c>
      <c r="B607" t="s">
        <v>114</v>
      </c>
      <c r="C607" s="14">
        <v>1.74E+17</v>
      </c>
      <c r="D607">
        <v>2050</v>
      </c>
      <c r="E607" t="s">
        <v>111</v>
      </c>
      <c r="F607" t="s">
        <v>91</v>
      </c>
      <c r="G607" t="s">
        <v>122</v>
      </c>
    </row>
    <row r="608" spans="1:7" x14ac:dyDescent="0.55000000000000004">
      <c r="A608" t="s">
        <v>99</v>
      </c>
      <c r="B608" t="s">
        <v>100</v>
      </c>
      <c r="C608" s="14">
        <v>5.82E+17</v>
      </c>
      <c r="D608">
        <v>2050</v>
      </c>
      <c r="E608" t="s">
        <v>111</v>
      </c>
      <c r="F608" t="s">
        <v>91</v>
      </c>
      <c r="G608" t="s">
        <v>122</v>
      </c>
    </row>
    <row r="609" spans="1:7" x14ac:dyDescent="0.55000000000000004">
      <c r="A609" t="s">
        <v>109</v>
      </c>
      <c r="B609" t="s">
        <v>110</v>
      </c>
      <c r="C609" s="14">
        <v>5.76E+16</v>
      </c>
      <c r="D609">
        <v>2050</v>
      </c>
      <c r="E609" t="s">
        <v>111</v>
      </c>
      <c r="F609" t="s">
        <v>91</v>
      </c>
      <c r="G609" t="s">
        <v>122</v>
      </c>
    </row>
    <row r="610" spans="1:7" x14ac:dyDescent="0.55000000000000004">
      <c r="A610" t="s">
        <v>106</v>
      </c>
      <c r="B610" t="s">
        <v>107</v>
      </c>
      <c r="D610">
        <v>2050</v>
      </c>
      <c r="E610" t="s">
        <v>111</v>
      </c>
      <c r="F610" t="s">
        <v>91</v>
      </c>
      <c r="G610" t="s">
        <v>122</v>
      </c>
    </row>
    <row r="611" spans="1:7" x14ac:dyDescent="0.55000000000000004">
      <c r="A611" t="s">
        <v>101</v>
      </c>
      <c r="B611" t="s">
        <v>102</v>
      </c>
      <c r="C611" s="14">
        <v>56000000000000</v>
      </c>
      <c r="D611">
        <v>2050</v>
      </c>
      <c r="E611" t="s">
        <v>111</v>
      </c>
      <c r="F611" t="s">
        <v>91</v>
      </c>
      <c r="G611" t="s">
        <v>122</v>
      </c>
    </row>
    <row r="612" spans="1:7" x14ac:dyDescent="0.55000000000000004">
      <c r="A612" t="s">
        <v>101</v>
      </c>
      <c r="B612" t="s">
        <v>103</v>
      </c>
      <c r="C612" s="14">
        <v>6926000000000000</v>
      </c>
      <c r="D612">
        <v>2050</v>
      </c>
      <c r="E612" t="s">
        <v>111</v>
      </c>
      <c r="F612" t="s">
        <v>91</v>
      </c>
      <c r="G612" t="s">
        <v>122</v>
      </c>
    </row>
    <row r="613" spans="1:7" x14ac:dyDescent="0.55000000000000004">
      <c r="A613" t="s">
        <v>104</v>
      </c>
      <c r="B613" t="s">
        <v>105</v>
      </c>
      <c r="C613" s="14">
        <v>2.6E+17</v>
      </c>
      <c r="D613">
        <v>2050</v>
      </c>
      <c r="E613" t="s">
        <v>111</v>
      </c>
      <c r="F613" t="s">
        <v>91</v>
      </c>
      <c r="G613" t="s">
        <v>122</v>
      </c>
    </row>
    <row r="614" spans="1:7" x14ac:dyDescent="0.55000000000000004">
      <c r="A614" t="s">
        <v>88</v>
      </c>
      <c r="B614" t="s">
        <v>93</v>
      </c>
      <c r="C614" s="14">
        <v>3.12E+16</v>
      </c>
      <c r="D614">
        <v>2060</v>
      </c>
      <c r="E614" t="s">
        <v>111</v>
      </c>
      <c r="F614" t="s">
        <v>91</v>
      </c>
      <c r="G614" t="s">
        <v>122</v>
      </c>
    </row>
    <row r="615" spans="1:7" x14ac:dyDescent="0.55000000000000004">
      <c r="A615" t="s">
        <v>94</v>
      </c>
      <c r="B615" t="s">
        <v>98</v>
      </c>
      <c r="C615" s="14">
        <v>412000000000000</v>
      </c>
      <c r="D615">
        <v>2060</v>
      </c>
      <c r="E615" t="s">
        <v>111</v>
      </c>
      <c r="F615" t="s">
        <v>91</v>
      </c>
      <c r="G615" t="s">
        <v>122</v>
      </c>
    </row>
    <row r="616" spans="1:7" x14ac:dyDescent="0.55000000000000004">
      <c r="A616" t="s">
        <v>99</v>
      </c>
      <c r="B616" t="s">
        <v>114</v>
      </c>
      <c r="C616" s="14">
        <v>1.74E+17</v>
      </c>
      <c r="D616">
        <v>2060</v>
      </c>
      <c r="E616" t="s">
        <v>111</v>
      </c>
      <c r="F616" t="s">
        <v>91</v>
      </c>
      <c r="G616" t="s">
        <v>122</v>
      </c>
    </row>
    <row r="617" spans="1:7" x14ac:dyDescent="0.55000000000000004">
      <c r="A617" t="s">
        <v>99</v>
      </c>
      <c r="B617" t="s">
        <v>100</v>
      </c>
      <c r="C617" s="14">
        <v>5.82E+17</v>
      </c>
      <c r="D617">
        <v>2060</v>
      </c>
      <c r="E617" t="s">
        <v>111</v>
      </c>
      <c r="F617" t="s">
        <v>91</v>
      </c>
      <c r="G617" t="s">
        <v>122</v>
      </c>
    </row>
    <row r="618" spans="1:7" x14ac:dyDescent="0.55000000000000004">
      <c r="A618" t="s">
        <v>109</v>
      </c>
      <c r="B618" t="s">
        <v>110</v>
      </c>
      <c r="C618" s="14">
        <v>3.6E+17</v>
      </c>
      <c r="D618">
        <v>2060</v>
      </c>
      <c r="E618" t="s">
        <v>111</v>
      </c>
      <c r="F618" t="s">
        <v>91</v>
      </c>
      <c r="G618" t="s">
        <v>122</v>
      </c>
    </row>
    <row r="619" spans="1:7" x14ac:dyDescent="0.55000000000000004">
      <c r="A619" t="s">
        <v>101</v>
      </c>
      <c r="B619" t="s">
        <v>102</v>
      </c>
      <c r="C619" s="14">
        <v>56000000000000</v>
      </c>
      <c r="D619">
        <v>2060</v>
      </c>
      <c r="E619" t="s">
        <v>111</v>
      </c>
      <c r="F619" t="s">
        <v>91</v>
      </c>
      <c r="G619" t="s">
        <v>122</v>
      </c>
    </row>
    <row r="620" spans="1:7" x14ac:dyDescent="0.55000000000000004">
      <c r="A620" t="s">
        <v>101</v>
      </c>
      <c r="B620" t="s">
        <v>103</v>
      </c>
      <c r="C620" s="14">
        <v>9445000000000000</v>
      </c>
      <c r="D620">
        <v>2060</v>
      </c>
      <c r="E620" t="s">
        <v>111</v>
      </c>
      <c r="F620" t="s">
        <v>91</v>
      </c>
      <c r="G620" t="s">
        <v>122</v>
      </c>
    </row>
    <row r="621" spans="1:7" x14ac:dyDescent="0.55000000000000004">
      <c r="A621" t="s">
        <v>104</v>
      </c>
      <c r="B621" t="s">
        <v>105</v>
      </c>
      <c r="C621" s="14">
        <v>2.05E+17</v>
      </c>
      <c r="D621">
        <v>2060</v>
      </c>
      <c r="E621" t="s">
        <v>111</v>
      </c>
      <c r="F621" t="s">
        <v>91</v>
      </c>
      <c r="G621" t="s">
        <v>122</v>
      </c>
    </row>
    <row r="622" spans="1:7" x14ac:dyDescent="0.55000000000000004">
      <c r="A622" t="s">
        <v>94</v>
      </c>
      <c r="B622" t="s">
        <v>95</v>
      </c>
      <c r="C622" s="14">
        <v>2.67E+16</v>
      </c>
      <c r="D622">
        <v>2020</v>
      </c>
      <c r="E622" t="s">
        <v>90</v>
      </c>
      <c r="F622" t="s">
        <v>91</v>
      </c>
      <c r="G622" t="s">
        <v>123</v>
      </c>
    </row>
    <row r="623" spans="1:7" x14ac:dyDescent="0.55000000000000004">
      <c r="A623" t="s">
        <v>94</v>
      </c>
      <c r="B623" t="s">
        <v>97</v>
      </c>
      <c r="C623" s="14">
        <v>2000000000000</v>
      </c>
      <c r="D623">
        <v>2020</v>
      </c>
      <c r="E623" t="s">
        <v>90</v>
      </c>
      <c r="F623" t="s">
        <v>91</v>
      </c>
      <c r="G623" t="s">
        <v>123</v>
      </c>
    </row>
    <row r="624" spans="1:7" x14ac:dyDescent="0.55000000000000004">
      <c r="A624" t="s">
        <v>94</v>
      </c>
      <c r="B624" t="s">
        <v>98</v>
      </c>
      <c r="C624" s="14">
        <v>3.54E+16</v>
      </c>
      <c r="D624">
        <v>2020</v>
      </c>
      <c r="E624" t="s">
        <v>90</v>
      </c>
      <c r="F624" t="s">
        <v>91</v>
      </c>
      <c r="G624" t="s">
        <v>123</v>
      </c>
    </row>
    <row r="625" spans="1:7" x14ac:dyDescent="0.55000000000000004">
      <c r="A625" t="s">
        <v>99</v>
      </c>
      <c r="B625" t="s">
        <v>100</v>
      </c>
      <c r="C625" s="14">
        <v>1.39E+16</v>
      </c>
      <c r="D625">
        <v>2020</v>
      </c>
      <c r="E625" t="s">
        <v>90</v>
      </c>
      <c r="F625" t="s">
        <v>91</v>
      </c>
      <c r="G625" t="s">
        <v>123</v>
      </c>
    </row>
    <row r="626" spans="1:7" x14ac:dyDescent="0.55000000000000004">
      <c r="A626" t="s">
        <v>99</v>
      </c>
      <c r="B626" t="s">
        <v>114</v>
      </c>
      <c r="C626" s="14">
        <v>2029000000000000</v>
      </c>
      <c r="D626">
        <v>2020</v>
      </c>
      <c r="E626" t="s">
        <v>90</v>
      </c>
      <c r="F626" t="s">
        <v>91</v>
      </c>
      <c r="G626" t="s">
        <v>123</v>
      </c>
    </row>
    <row r="627" spans="1:7" x14ac:dyDescent="0.55000000000000004">
      <c r="A627" t="s">
        <v>101</v>
      </c>
      <c r="B627" t="s">
        <v>103</v>
      </c>
      <c r="C627" s="14">
        <v>130000000000000</v>
      </c>
      <c r="D627">
        <v>2020</v>
      </c>
      <c r="E627" t="s">
        <v>90</v>
      </c>
      <c r="F627" t="s">
        <v>91</v>
      </c>
      <c r="G627" t="s">
        <v>123</v>
      </c>
    </row>
    <row r="628" spans="1:7" x14ac:dyDescent="0.55000000000000004">
      <c r="A628" t="s">
        <v>104</v>
      </c>
      <c r="B628" t="s">
        <v>105</v>
      </c>
      <c r="C628" s="14">
        <v>1955000000000000</v>
      </c>
      <c r="D628">
        <v>2020</v>
      </c>
      <c r="E628" t="s">
        <v>90</v>
      </c>
      <c r="F628" t="s">
        <v>91</v>
      </c>
      <c r="G628" t="s">
        <v>123</v>
      </c>
    </row>
    <row r="629" spans="1:7" x14ac:dyDescent="0.55000000000000004">
      <c r="A629" t="s">
        <v>88</v>
      </c>
      <c r="B629" t="s">
        <v>89</v>
      </c>
      <c r="C629" s="14">
        <v>13000000000000</v>
      </c>
      <c r="D629">
        <v>2030</v>
      </c>
      <c r="E629" t="s">
        <v>90</v>
      </c>
      <c r="F629" t="s">
        <v>91</v>
      </c>
      <c r="G629" t="s">
        <v>123</v>
      </c>
    </row>
    <row r="630" spans="1:7" x14ac:dyDescent="0.55000000000000004">
      <c r="A630" t="s">
        <v>94</v>
      </c>
      <c r="B630" t="s">
        <v>95</v>
      </c>
      <c r="C630" s="14">
        <v>7031000000000000</v>
      </c>
      <c r="D630">
        <v>2030</v>
      </c>
      <c r="E630" t="s">
        <v>90</v>
      </c>
      <c r="F630" t="s">
        <v>91</v>
      </c>
      <c r="G630" t="s">
        <v>123</v>
      </c>
    </row>
    <row r="631" spans="1:7" x14ac:dyDescent="0.55000000000000004">
      <c r="A631" t="s">
        <v>94</v>
      </c>
      <c r="B631" t="s">
        <v>97</v>
      </c>
      <c r="C631" s="14">
        <v>1000000000000</v>
      </c>
      <c r="D631">
        <v>2030</v>
      </c>
      <c r="E631" t="s">
        <v>90</v>
      </c>
      <c r="F631" t="s">
        <v>91</v>
      </c>
      <c r="G631" t="s">
        <v>123</v>
      </c>
    </row>
    <row r="632" spans="1:7" x14ac:dyDescent="0.55000000000000004">
      <c r="A632" t="s">
        <v>94</v>
      </c>
      <c r="B632" t="s">
        <v>98</v>
      </c>
      <c r="C632" s="14">
        <v>3.67E+16</v>
      </c>
      <c r="D632">
        <v>2030</v>
      </c>
      <c r="E632" t="s">
        <v>90</v>
      </c>
      <c r="F632" t="s">
        <v>91</v>
      </c>
      <c r="G632" t="s">
        <v>123</v>
      </c>
    </row>
    <row r="633" spans="1:7" x14ac:dyDescent="0.55000000000000004">
      <c r="A633" t="s">
        <v>99</v>
      </c>
      <c r="B633" t="s">
        <v>100</v>
      </c>
      <c r="C633" s="14">
        <v>1.08E+16</v>
      </c>
      <c r="D633">
        <v>2030</v>
      </c>
      <c r="E633" t="s">
        <v>90</v>
      </c>
      <c r="F633" t="s">
        <v>91</v>
      </c>
      <c r="G633" t="s">
        <v>123</v>
      </c>
    </row>
    <row r="634" spans="1:7" x14ac:dyDescent="0.55000000000000004">
      <c r="A634" t="s">
        <v>99</v>
      </c>
      <c r="B634" t="s">
        <v>114</v>
      </c>
      <c r="C634" s="14">
        <v>1573000000000000</v>
      </c>
      <c r="D634">
        <v>2030</v>
      </c>
      <c r="E634" t="s">
        <v>90</v>
      </c>
      <c r="F634" t="s">
        <v>91</v>
      </c>
      <c r="G634" t="s">
        <v>123</v>
      </c>
    </row>
    <row r="635" spans="1:7" x14ac:dyDescent="0.55000000000000004">
      <c r="A635" t="s">
        <v>106</v>
      </c>
      <c r="B635" t="s">
        <v>107</v>
      </c>
      <c r="D635">
        <v>2030</v>
      </c>
      <c r="E635" t="s">
        <v>90</v>
      </c>
      <c r="F635" t="s">
        <v>91</v>
      </c>
      <c r="G635" t="s">
        <v>123</v>
      </c>
    </row>
    <row r="636" spans="1:7" x14ac:dyDescent="0.55000000000000004">
      <c r="A636" t="s">
        <v>101</v>
      </c>
      <c r="B636" t="s">
        <v>103</v>
      </c>
      <c r="C636" s="14">
        <v>450000000000000</v>
      </c>
      <c r="D636">
        <v>2030</v>
      </c>
      <c r="E636" t="s">
        <v>90</v>
      </c>
      <c r="F636" t="s">
        <v>91</v>
      </c>
      <c r="G636" t="s">
        <v>123</v>
      </c>
    </row>
    <row r="637" spans="1:7" x14ac:dyDescent="0.55000000000000004">
      <c r="A637" t="s">
        <v>104</v>
      </c>
      <c r="B637" t="s">
        <v>105</v>
      </c>
      <c r="C637" s="14">
        <v>4.68E+16</v>
      </c>
      <c r="D637">
        <v>2030</v>
      </c>
      <c r="E637" t="s">
        <v>90</v>
      </c>
      <c r="F637" t="s">
        <v>91</v>
      </c>
      <c r="G637" t="s">
        <v>123</v>
      </c>
    </row>
    <row r="638" spans="1:7" x14ac:dyDescent="0.55000000000000004">
      <c r="A638" t="s">
        <v>94</v>
      </c>
      <c r="B638" t="s">
        <v>95</v>
      </c>
      <c r="C638" s="14">
        <v>4762000000000000</v>
      </c>
      <c r="D638">
        <v>2040</v>
      </c>
      <c r="E638" t="s">
        <v>90</v>
      </c>
      <c r="F638" t="s">
        <v>91</v>
      </c>
      <c r="G638" t="s">
        <v>123</v>
      </c>
    </row>
    <row r="639" spans="1:7" x14ac:dyDescent="0.55000000000000004">
      <c r="A639" t="s">
        <v>94</v>
      </c>
      <c r="B639" t="s">
        <v>97</v>
      </c>
      <c r="D639">
        <v>2040</v>
      </c>
      <c r="E639" t="s">
        <v>90</v>
      </c>
      <c r="F639" t="s">
        <v>91</v>
      </c>
      <c r="G639" t="s">
        <v>123</v>
      </c>
    </row>
    <row r="640" spans="1:7" x14ac:dyDescent="0.55000000000000004">
      <c r="A640" t="s">
        <v>94</v>
      </c>
      <c r="B640" t="s">
        <v>98</v>
      </c>
      <c r="C640" s="14">
        <v>1.43E+16</v>
      </c>
      <c r="D640">
        <v>2040</v>
      </c>
      <c r="E640" t="s">
        <v>90</v>
      </c>
      <c r="F640" t="s">
        <v>91</v>
      </c>
      <c r="G640" t="s">
        <v>123</v>
      </c>
    </row>
    <row r="641" spans="1:7" x14ac:dyDescent="0.55000000000000004">
      <c r="A641" t="s">
        <v>99</v>
      </c>
      <c r="B641" t="s">
        <v>100</v>
      </c>
      <c r="C641" s="14">
        <v>1.23E+16</v>
      </c>
      <c r="D641">
        <v>2040</v>
      </c>
      <c r="E641" t="s">
        <v>90</v>
      </c>
      <c r="F641" t="s">
        <v>91</v>
      </c>
      <c r="G641" t="s">
        <v>123</v>
      </c>
    </row>
    <row r="642" spans="1:7" x14ac:dyDescent="0.55000000000000004">
      <c r="A642" t="s">
        <v>99</v>
      </c>
      <c r="B642" t="s">
        <v>114</v>
      </c>
      <c r="C642" s="14">
        <v>1801000000000000</v>
      </c>
      <c r="D642">
        <v>2040</v>
      </c>
      <c r="E642" t="s">
        <v>90</v>
      </c>
      <c r="F642" t="s">
        <v>91</v>
      </c>
      <c r="G642" t="s">
        <v>123</v>
      </c>
    </row>
    <row r="643" spans="1:7" x14ac:dyDescent="0.55000000000000004">
      <c r="A643" t="s">
        <v>101</v>
      </c>
      <c r="B643" t="s">
        <v>103</v>
      </c>
      <c r="C643" s="14">
        <v>407000000000000</v>
      </c>
      <c r="D643">
        <v>2040</v>
      </c>
      <c r="E643" t="s">
        <v>90</v>
      </c>
      <c r="F643" t="s">
        <v>91</v>
      </c>
      <c r="G643" t="s">
        <v>123</v>
      </c>
    </row>
    <row r="644" spans="1:7" x14ac:dyDescent="0.55000000000000004">
      <c r="A644" t="s">
        <v>104</v>
      </c>
      <c r="B644" t="s">
        <v>105</v>
      </c>
      <c r="C644" s="14">
        <v>1.17E+17</v>
      </c>
      <c r="D644">
        <v>2040</v>
      </c>
      <c r="E644" t="s">
        <v>90</v>
      </c>
      <c r="F644" t="s">
        <v>91</v>
      </c>
      <c r="G644" t="s">
        <v>123</v>
      </c>
    </row>
    <row r="645" spans="1:7" x14ac:dyDescent="0.55000000000000004">
      <c r="A645" t="s">
        <v>88</v>
      </c>
      <c r="B645" t="s">
        <v>89</v>
      </c>
      <c r="C645" s="14">
        <v>15000000000000</v>
      </c>
      <c r="D645">
        <v>2050</v>
      </c>
      <c r="E645" t="s">
        <v>90</v>
      </c>
      <c r="F645" t="s">
        <v>91</v>
      </c>
      <c r="G645" t="s">
        <v>123</v>
      </c>
    </row>
    <row r="646" spans="1:7" x14ac:dyDescent="0.55000000000000004">
      <c r="A646" t="s">
        <v>94</v>
      </c>
      <c r="B646" t="s">
        <v>95</v>
      </c>
      <c r="C646" s="14">
        <v>2310000000000000</v>
      </c>
      <c r="D646">
        <v>2050</v>
      </c>
      <c r="E646" t="s">
        <v>90</v>
      </c>
      <c r="F646" t="s">
        <v>91</v>
      </c>
      <c r="G646" t="s">
        <v>123</v>
      </c>
    </row>
    <row r="647" spans="1:7" x14ac:dyDescent="0.55000000000000004">
      <c r="A647" t="s">
        <v>94</v>
      </c>
      <c r="B647" t="s">
        <v>96</v>
      </c>
      <c r="D647">
        <v>2050</v>
      </c>
      <c r="E647" t="s">
        <v>90</v>
      </c>
      <c r="F647" t="s">
        <v>91</v>
      </c>
      <c r="G647" t="s">
        <v>123</v>
      </c>
    </row>
    <row r="648" spans="1:7" x14ac:dyDescent="0.55000000000000004">
      <c r="A648" t="s">
        <v>94</v>
      </c>
      <c r="B648" t="s">
        <v>98</v>
      </c>
      <c r="C648" s="14">
        <v>4709000000000000</v>
      </c>
      <c r="D648">
        <v>2050</v>
      </c>
      <c r="E648" t="s">
        <v>90</v>
      </c>
      <c r="F648" t="s">
        <v>91</v>
      </c>
      <c r="G648" t="s">
        <v>123</v>
      </c>
    </row>
    <row r="649" spans="1:7" x14ac:dyDescent="0.55000000000000004">
      <c r="A649" t="s">
        <v>99</v>
      </c>
      <c r="B649" t="s">
        <v>100</v>
      </c>
      <c r="C649" s="14">
        <v>1.39E+16</v>
      </c>
      <c r="D649">
        <v>2050</v>
      </c>
      <c r="E649" t="s">
        <v>90</v>
      </c>
      <c r="F649" t="s">
        <v>91</v>
      </c>
      <c r="G649" t="s">
        <v>123</v>
      </c>
    </row>
    <row r="650" spans="1:7" x14ac:dyDescent="0.55000000000000004">
      <c r="A650" t="s">
        <v>99</v>
      </c>
      <c r="B650" t="s">
        <v>114</v>
      </c>
      <c r="C650" s="14">
        <v>2029000000000000</v>
      </c>
      <c r="D650">
        <v>2050</v>
      </c>
      <c r="E650" t="s">
        <v>90</v>
      </c>
      <c r="F650" t="s">
        <v>91</v>
      </c>
      <c r="G650" t="s">
        <v>123</v>
      </c>
    </row>
    <row r="651" spans="1:7" x14ac:dyDescent="0.55000000000000004">
      <c r="A651" t="s">
        <v>109</v>
      </c>
      <c r="B651" t="s">
        <v>110</v>
      </c>
      <c r="C651" s="14">
        <v>1797000000000000</v>
      </c>
      <c r="D651">
        <v>2050</v>
      </c>
      <c r="E651" t="s">
        <v>90</v>
      </c>
      <c r="F651" t="s">
        <v>91</v>
      </c>
      <c r="G651" t="s">
        <v>123</v>
      </c>
    </row>
    <row r="652" spans="1:7" x14ac:dyDescent="0.55000000000000004">
      <c r="A652" t="s">
        <v>101</v>
      </c>
      <c r="B652" t="s">
        <v>103</v>
      </c>
      <c r="C652" s="14">
        <v>368000000000000</v>
      </c>
      <c r="D652">
        <v>2050</v>
      </c>
      <c r="E652" t="s">
        <v>90</v>
      </c>
      <c r="F652" t="s">
        <v>91</v>
      </c>
      <c r="G652" t="s">
        <v>123</v>
      </c>
    </row>
    <row r="653" spans="1:7" x14ac:dyDescent="0.55000000000000004">
      <c r="A653" t="s">
        <v>104</v>
      </c>
      <c r="B653" t="s">
        <v>105</v>
      </c>
      <c r="C653" s="14">
        <v>1.52E+17</v>
      </c>
      <c r="D653">
        <v>2050</v>
      </c>
      <c r="E653" t="s">
        <v>90</v>
      </c>
      <c r="F653" t="s">
        <v>91</v>
      </c>
      <c r="G653" t="s">
        <v>123</v>
      </c>
    </row>
    <row r="654" spans="1:7" x14ac:dyDescent="0.55000000000000004">
      <c r="A654" t="s">
        <v>94</v>
      </c>
      <c r="B654" t="s">
        <v>96</v>
      </c>
      <c r="D654">
        <v>2060</v>
      </c>
      <c r="E654" t="s">
        <v>90</v>
      </c>
      <c r="F654" t="s">
        <v>91</v>
      </c>
      <c r="G654" t="s">
        <v>123</v>
      </c>
    </row>
    <row r="655" spans="1:7" x14ac:dyDescent="0.55000000000000004">
      <c r="A655" t="s">
        <v>94</v>
      </c>
      <c r="B655" t="s">
        <v>98</v>
      </c>
      <c r="C655" s="14">
        <v>4709000000000000</v>
      </c>
      <c r="D655">
        <v>2060</v>
      </c>
      <c r="E655" t="s">
        <v>90</v>
      </c>
      <c r="F655" t="s">
        <v>91</v>
      </c>
      <c r="G655" t="s">
        <v>123</v>
      </c>
    </row>
    <row r="656" spans="1:7" x14ac:dyDescent="0.55000000000000004">
      <c r="A656" t="s">
        <v>99</v>
      </c>
      <c r="B656" t="s">
        <v>100</v>
      </c>
      <c r="C656" s="14">
        <v>1.39E+16</v>
      </c>
      <c r="D656">
        <v>2060</v>
      </c>
      <c r="E656" t="s">
        <v>90</v>
      </c>
      <c r="F656" t="s">
        <v>91</v>
      </c>
      <c r="G656" t="s">
        <v>123</v>
      </c>
    </row>
    <row r="657" spans="1:7" x14ac:dyDescent="0.55000000000000004">
      <c r="A657" t="s">
        <v>99</v>
      </c>
      <c r="B657" t="s">
        <v>114</v>
      </c>
      <c r="C657" s="14">
        <v>2029000000000000</v>
      </c>
      <c r="D657">
        <v>2060</v>
      </c>
      <c r="E657" t="s">
        <v>90</v>
      </c>
      <c r="F657" t="s">
        <v>91</v>
      </c>
      <c r="G657" t="s">
        <v>123</v>
      </c>
    </row>
    <row r="658" spans="1:7" x14ac:dyDescent="0.55000000000000004">
      <c r="A658" t="s">
        <v>109</v>
      </c>
      <c r="B658" t="s">
        <v>110</v>
      </c>
      <c r="C658" s="14">
        <v>2.41E+16</v>
      </c>
      <c r="D658">
        <v>2060</v>
      </c>
      <c r="E658" t="s">
        <v>90</v>
      </c>
      <c r="F658" t="s">
        <v>91</v>
      </c>
      <c r="G658" t="s">
        <v>123</v>
      </c>
    </row>
    <row r="659" spans="1:7" x14ac:dyDescent="0.55000000000000004">
      <c r="A659" t="s">
        <v>101</v>
      </c>
      <c r="B659" t="s">
        <v>103</v>
      </c>
      <c r="C659" s="14">
        <v>1638000000000000</v>
      </c>
      <c r="D659">
        <v>2060</v>
      </c>
      <c r="E659" t="s">
        <v>90</v>
      </c>
      <c r="F659" t="s">
        <v>91</v>
      </c>
      <c r="G659" t="s">
        <v>123</v>
      </c>
    </row>
    <row r="660" spans="1:7" x14ac:dyDescent="0.55000000000000004">
      <c r="A660" t="s">
        <v>104</v>
      </c>
      <c r="B660" t="s">
        <v>105</v>
      </c>
      <c r="C660" s="14">
        <v>1.52E+17</v>
      </c>
      <c r="D660">
        <v>2060</v>
      </c>
      <c r="E660" t="s">
        <v>90</v>
      </c>
      <c r="F660" t="s">
        <v>91</v>
      </c>
      <c r="G660" t="s">
        <v>123</v>
      </c>
    </row>
    <row r="661" spans="1:7" x14ac:dyDescent="0.55000000000000004">
      <c r="A661" t="s">
        <v>94</v>
      </c>
      <c r="B661" t="s">
        <v>95</v>
      </c>
      <c r="C661" s="14">
        <v>2.67E+16</v>
      </c>
      <c r="D661">
        <v>2020</v>
      </c>
      <c r="E661" t="s">
        <v>111</v>
      </c>
      <c r="F661" t="s">
        <v>91</v>
      </c>
      <c r="G661" t="s">
        <v>123</v>
      </c>
    </row>
    <row r="662" spans="1:7" x14ac:dyDescent="0.55000000000000004">
      <c r="A662" t="s">
        <v>94</v>
      </c>
      <c r="B662" t="s">
        <v>97</v>
      </c>
      <c r="C662" s="14">
        <v>2000000000000</v>
      </c>
      <c r="D662">
        <v>2020</v>
      </c>
      <c r="E662" t="s">
        <v>111</v>
      </c>
      <c r="F662" t="s">
        <v>91</v>
      </c>
      <c r="G662" t="s">
        <v>123</v>
      </c>
    </row>
    <row r="663" spans="1:7" x14ac:dyDescent="0.55000000000000004">
      <c r="A663" t="s">
        <v>94</v>
      </c>
      <c r="B663" t="s">
        <v>98</v>
      </c>
      <c r="C663" s="14">
        <v>3.54E+16</v>
      </c>
      <c r="D663">
        <v>2020</v>
      </c>
      <c r="E663" t="s">
        <v>111</v>
      </c>
      <c r="F663" t="s">
        <v>91</v>
      </c>
      <c r="G663" t="s">
        <v>123</v>
      </c>
    </row>
    <row r="664" spans="1:7" x14ac:dyDescent="0.55000000000000004">
      <c r="A664" t="s">
        <v>99</v>
      </c>
      <c r="B664" t="s">
        <v>100</v>
      </c>
      <c r="C664" s="14">
        <v>1.39E+16</v>
      </c>
      <c r="D664">
        <v>2020</v>
      </c>
      <c r="E664" t="s">
        <v>111</v>
      </c>
      <c r="F664" t="s">
        <v>91</v>
      </c>
      <c r="G664" t="s">
        <v>123</v>
      </c>
    </row>
    <row r="665" spans="1:7" x14ac:dyDescent="0.55000000000000004">
      <c r="A665" t="s">
        <v>99</v>
      </c>
      <c r="B665" t="s">
        <v>114</v>
      </c>
      <c r="C665" s="14">
        <v>2029000000000000</v>
      </c>
      <c r="D665">
        <v>2020</v>
      </c>
      <c r="E665" t="s">
        <v>111</v>
      </c>
      <c r="F665" t="s">
        <v>91</v>
      </c>
      <c r="G665" t="s">
        <v>123</v>
      </c>
    </row>
    <row r="666" spans="1:7" x14ac:dyDescent="0.55000000000000004">
      <c r="A666" t="s">
        <v>101</v>
      </c>
      <c r="B666" t="s">
        <v>103</v>
      </c>
      <c r="C666" s="14">
        <v>130000000000000</v>
      </c>
      <c r="D666">
        <v>2020</v>
      </c>
      <c r="E666" t="s">
        <v>111</v>
      </c>
      <c r="F666" t="s">
        <v>91</v>
      </c>
      <c r="G666" t="s">
        <v>123</v>
      </c>
    </row>
    <row r="667" spans="1:7" x14ac:dyDescent="0.55000000000000004">
      <c r="A667" t="s">
        <v>104</v>
      </c>
      <c r="B667" t="s">
        <v>105</v>
      </c>
      <c r="C667" s="14">
        <v>1955000000000000</v>
      </c>
      <c r="D667">
        <v>2020</v>
      </c>
      <c r="E667" t="s">
        <v>111</v>
      </c>
      <c r="F667" t="s">
        <v>91</v>
      </c>
      <c r="G667" t="s">
        <v>123</v>
      </c>
    </row>
    <row r="668" spans="1:7" x14ac:dyDescent="0.55000000000000004">
      <c r="A668" t="s">
        <v>88</v>
      </c>
      <c r="B668" t="s">
        <v>93</v>
      </c>
      <c r="D668">
        <v>2030</v>
      </c>
      <c r="E668" t="s">
        <v>111</v>
      </c>
      <c r="F668" t="s">
        <v>91</v>
      </c>
      <c r="G668" t="s">
        <v>123</v>
      </c>
    </row>
    <row r="669" spans="1:7" x14ac:dyDescent="0.55000000000000004">
      <c r="A669" t="s">
        <v>94</v>
      </c>
      <c r="B669" t="s">
        <v>95</v>
      </c>
      <c r="C669" s="14">
        <v>6872000000000000</v>
      </c>
      <c r="D669">
        <v>2030</v>
      </c>
      <c r="E669" t="s">
        <v>111</v>
      </c>
      <c r="F669" t="s">
        <v>91</v>
      </c>
      <c r="G669" t="s">
        <v>123</v>
      </c>
    </row>
    <row r="670" spans="1:7" x14ac:dyDescent="0.55000000000000004">
      <c r="A670" t="s">
        <v>94</v>
      </c>
      <c r="B670" t="s">
        <v>97</v>
      </c>
      <c r="C670" s="14">
        <v>1000000000000</v>
      </c>
      <c r="D670">
        <v>2030</v>
      </c>
      <c r="E670" t="s">
        <v>111</v>
      </c>
      <c r="F670" t="s">
        <v>91</v>
      </c>
      <c r="G670" t="s">
        <v>123</v>
      </c>
    </row>
    <row r="671" spans="1:7" x14ac:dyDescent="0.55000000000000004">
      <c r="A671" t="s">
        <v>94</v>
      </c>
      <c r="B671" t="s">
        <v>98</v>
      </c>
      <c r="C671" s="14">
        <v>1.31E+16</v>
      </c>
      <c r="D671">
        <v>2030</v>
      </c>
      <c r="E671" t="s">
        <v>111</v>
      </c>
      <c r="F671" t="s">
        <v>91</v>
      </c>
      <c r="G671" t="s">
        <v>123</v>
      </c>
    </row>
    <row r="672" spans="1:7" x14ac:dyDescent="0.55000000000000004">
      <c r="A672" t="s">
        <v>99</v>
      </c>
      <c r="B672" t="s">
        <v>100</v>
      </c>
      <c r="C672" s="14">
        <v>1.08E+16</v>
      </c>
      <c r="D672">
        <v>2030</v>
      </c>
      <c r="E672" t="s">
        <v>111</v>
      </c>
      <c r="F672" t="s">
        <v>91</v>
      </c>
      <c r="G672" t="s">
        <v>123</v>
      </c>
    </row>
    <row r="673" spans="1:7" x14ac:dyDescent="0.55000000000000004">
      <c r="A673" t="s">
        <v>99</v>
      </c>
      <c r="B673" t="s">
        <v>114</v>
      </c>
      <c r="C673" s="14">
        <v>1573000000000000</v>
      </c>
      <c r="D673">
        <v>2030</v>
      </c>
      <c r="E673" t="s">
        <v>111</v>
      </c>
      <c r="F673" t="s">
        <v>91</v>
      </c>
      <c r="G673" t="s">
        <v>123</v>
      </c>
    </row>
    <row r="674" spans="1:7" x14ac:dyDescent="0.55000000000000004">
      <c r="A674" t="s">
        <v>101</v>
      </c>
      <c r="B674" t="s">
        <v>103</v>
      </c>
      <c r="C674" s="14">
        <v>450000000000000</v>
      </c>
      <c r="D674">
        <v>2030</v>
      </c>
      <c r="E674" t="s">
        <v>111</v>
      </c>
      <c r="F674" t="s">
        <v>91</v>
      </c>
      <c r="G674" t="s">
        <v>123</v>
      </c>
    </row>
    <row r="675" spans="1:7" x14ac:dyDescent="0.55000000000000004">
      <c r="A675" t="s">
        <v>104</v>
      </c>
      <c r="B675" t="s">
        <v>105</v>
      </c>
      <c r="C675" s="14">
        <v>1E+17</v>
      </c>
      <c r="D675">
        <v>2030</v>
      </c>
      <c r="E675" t="s">
        <v>111</v>
      </c>
      <c r="F675" t="s">
        <v>91</v>
      </c>
      <c r="G675" t="s">
        <v>123</v>
      </c>
    </row>
    <row r="676" spans="1:7" x14ac:dyDescent="0.55000000000000004">
      <c r="A676" t="s">
        <v>88</v>
      </c>
      <c r="B676" t="s">
        <v>93</v>
      </c>
      <c r="C676" s="14">
        <v>8102000000000000</v>
      </c>
      <c r="D676">
        <v>2040</v>
      </c>
      <c r="E676" t="s">
        <v>111</v>
      </c>
      <c r="F676" t="s">
        <v>91</v>
      </c>
      <c r="G676" t="s">
        <v>123</v>
      </c>
    </row>
    <row r="677" spans="1:7" x14ac:dyDescent="0.55000000000000004">
      <c r="A677" t="s">
        <v>94</v>
      </c>
      <c r="B677" t="s">
        <v>95</v>
      </c>
      <c r="C677" s="14">
        <v>4382000000000000</v>
      </c>
      <c r="D677">
        <v>2040</v>
      </c>
      <c r="E677" t="s">
        <v>111</v>
      </c>
      <c r="F677" t="s">
        <v>91</v>
      </c>
      <c r="G677" t="s">
        <v>123</v>
      </c>
    </row>
    <row r="678" spans="1:7" x14ac:dyDescent="0.55000000000000004">
      <c r="A678" t="s">
        <v>94</v>
      </c>
      <c r="B678" t="s">
        <v>97</v>
      </c>
      <c r="D678">
        <v>2040</v>
      </c>
      <c r="E678" t="s">
        <v>111</v>
      </c>
      <c r="F678" t="s">
        <v>91</v>
      </c>
      <c r="G678" t="s">
        <v>123</v>
      </c>
    </row>
    <row r="679" spans="1:7" x14ac:dyDescent="0.55000000000000004">
      <c r="A679" t="s">
        <v>99</v>
      </c>
      <c r="B679" t="s">
        <v>100</v>
      </c>
      <c r="C679" s="14">
        <v>1.23E+16</v>
      </c>
      <c r="D679">
        <v>2040</v>
      </c>
      <c r="E679" t="s">
        <v>111</v>
      </c>
      <c r="F679" t="s">
        <v>91</v>
      </c>
      <c r="G679" t="s">
        <v>123</v>
      </c>
    </row>
    <row r="680" spans="1:7" x14ac:dyDescent="0.55000000000000004">
      <c r="A680" t="s">
        <v>99</v>
      </c>
      <c r="B680" t="s">
        <v>114</v>
      </c>
      <c r="C680" s="14">
        <v>1801000000000000</v>
      </c>
      <c r="D680">
        <v>2040</v>
      </c>
      <c r="E680" t="s">
        <v>111</v>
      </c>
      <c r="F680" t="s">
        <v>91</v>
      </c>
      <c r="G680" t="s">
        <v>123</v>
      </c>
    </row>
    <row r="681" spans="1:7" x14ac:dyDescent="0.55000000000000004">
      <c r="A681" t="s">
        <v>101</v>
      </c>
      <c r="B681" t="s">
        <v>103</v>
      </c>
      <c r="C681" s="14">
        <v>407000000000000</v>
      </c>
      <c r="D681">
        <v>2040</v>
      </c>
      <c r="E681" t="s">
        <v>111</v>
      </c>
      <c r="F681" t="s">
        <v>91</v>
      </c>
      <c r="G681" t="s">
        <v>123</v>
      </c>
    </row>
    <row r="682" spans="1:7" x14ac:dyDescent="0.55000000000000004">
      <c r="A682" t="s">
        <v>104</v>
      </c>
      <c r="B682" t="s">
        <v>105</v>
      </c>
      <c r="C682" s="14">
        <v>2.22E+17</v>
      </c>
      <c r="D682">
        <v>2040</v>
      </c>
      <c r="E682" t="s">
        <v>111</v>
      </c>
      <c r="F682" t="s">
        <v>91</v>
      </c>
      <c r="G682" t="s">
        <v>123</v>
      </c>
    </row>
    <row r="683" spans="1:7" x14ac:dyDescent="0.55000000000000004">
      <c r="A683" t="s">
        <v>88</v>
      </c>
      <c r="B683" t="s">
        <v>93</v>
      </c>
      <c r="C683" s="14">
        <v>2.39E+16</v>
      </c>
      <c r="D683">
        <v>2050</v>
      </c>
      <c r="E683" t="s">
        <v>111</v>
      </c>
      <c r="F683" t="s">
        <v>91</v>
      </c>
      <c r="G683" t="s">
        <v>123</v>
      </c>
    </row>
    <row r="684" spans="1:7" x14ac:dyDescent="0.55000000000000004">
      <c r="A684" t="s">
        <v>94</v>
      </c>
      <c r="B684" t="s">
        <v>95</v>
      </c>
      <c r="C684" s="14">
        <v>1892000000000000</v>
      </c>
      <c r="D684">
        <v>2050</v>
      </c>
      <c r="E684" t="s">
        <v>111</v>
      </c>
      <c r="F684" t="s">
        <v>91</v>
      </c>
      <c r="G684" t="s">
        <v>123</v>
      </c>
    </row>
    <row r="685" spans="1:7" x14ac:dyDescent="0.55000000000000004">
      <c r="A685" t="s">
        <v>99</v>
      </c>
      <c r="B685" t="s">
        <v>100</v>
      </c>
      <c r="C685" s="14">
        <v>1.39E+16</v>
      </c>
      <c r="D685">
        <v>2050</v>
      </c>
      <c r="E685" t="s">
        <v>111</v>
      </c>
      <c r="F685" t="s">
        <v>91</v>
      </c>
      <c r="G685" t="s">
        <v>123</v>
      </c>
    </row>
    <row r="686" spans="1:7" x14ac:dyDescent="0.55000000000000004">
      <c r="A686" t="s">
        <v>99</v>
      </c>
      <c r="B686" t="s">
        <v>114</v>
      </c>
      <c r="C686" s="14">
        <v>2029000000000000</v>
      </c>
      <c r="D686">
        <v>2050</v>
      </c>
      <c r="E686" t="s">
        <v>111</v>
      </c>
      <c r="F686" t="s">
        <v>91</v>
      </c>
      <c r="G686" t="s">
        <v>123</v>
      </c>
    </row>
    <row r="687" spans="1:7" x14ac:dyDescent="0.55000000000000004">
      <c r="A687" t="s">
        <v>101</v>
      </c>
      <c r="B687" t="s">
        <v>103</v>
      </c>
      <c r="C687" s="14">
        <v>1395000000000000</v>
      </c>
      <c r="D687">
        <v>2050</v>
      </c>
      <c r="E687" t="s">
        <v>111</v>
      </c>
      <c r="F687" t="s">
        <v>91</v>
      </c>
      <c r="G687" t="s">
        <v>123</v>
      </c>
    </row>
    <row r="688" spans="1:7" x14ac:dyDescent="0.55000000000000004">
      <c r="A688" t="s">
        <v>104</v>
      </c>
      <c r="B688" t="s">
        <v>105</v>
      </c>
      <c r="C688" s="14">
        <v>3.84E+17</v>
      </c>
      <c r="D688">
        <v>2050</v>
      </c>
      <c r="E688" t="s">
        <v>111</v>
      </c>
      <c r="F688" t="s">
        <v>91</v>
      </c>
      <c r="G688" t="s">
        <v>123</v>
      </c>
    </row>
    <row r="689" spans="1:7" x14ac:dyDescent="0.55000000000000004">
      <c r="A689" t="s">
        <v>88</v>
      </c>
      <c r="B689" t="s">
        <v>93</v>
      </c>
      <c r="C689" s="14">
        <v>2.39E+16</v>
      </c>
      <c r="D689">
        <v>2060</v>
      </c>
      <c r="E689" t="s">
        <v>111</v>
      </c>
      <c r="F689" t="s">
        <v>91</v>
      </c>
      <c r="G689" t="s">
        <v>123</v>
      </c>
    </row>
    <row r="690" spans="1:7" x14ac:dyDescent="0.55000000000000004">
      <c r="A690" t="s">
        <v>99</v>
      </c>
      <c r="B690" t="s">
        <v>100</v>
      </c>
      <c r="C690" s="14">
        <v>1.39E+16</v>
      </c>
      <c r="D690">
        <v>2060</v>
      </c>
      <c r="E690" t="s">
        <v>111</v>
      </c>
      <c r="F690" t="s">
        <v>91</v>
      </c>
      <c r="G690" t="s">
        <v>123</v>
      </c>
    </row>
    <row r="691" spans="1:7" x14ac:dyDescent="0.55000000000000004">
      <c r="A691" t="s">
        <v>99</v>
      </c>
      <c r="B691" t="s">
        <v>114</v>
      </c>
      <c r="C691" s="14">
        <v>2029000000000000</v>
      </c>
      <c r="D691">
        <v>2060</v>
      </c>
      <c r="E691" t="s">
        <v>111</v>
      </c>
      <c r="F691" t="s">
        <v>91</v>
      </c>
      <c r="G691" t="s">
        <v>123</v>
      </c>
    </row>
    <row r="692" spans="1:7" x14ac:dyDescent="0.55000000000000004">
      <c r="A692" t="s">
        <v>101</v>
      </c>
      <c r="B692" t="s">
        <v>103</v>
      </c>
      <c r="C692" s="14">
        <v>1903000000000000</v>
      </c>
      <c r="D692">
        <v>2060</v>
      </c>
      <c r="E692" t="s">
        <v>111</v>
      </c>
      <c r="F692" t="s">
        <v>91</v>
      </c>
      <c r="G692" t="s">
        <v>123</v>
      </c>
    </row>
    <row r="693" spans="1:7" x14ac:dyDescent="0.55000000000000004">
      <c r="A693" t="s">
        <v>104</v>
      </c>
      <c r="B693" t="s">
        <v>105</v>
      </c>
      <c r="C693" s="14">
        <v>3.8E+17</v>
      </c>
      <c r="D693">
        <v>2060</v>
      </c>
      <c r="E693" t="s">
        <v>111</v>
      </c>
      <c r="F693" t="s">
        <v>91</v>
      </c>
      <c r="G693" t="s">
        <v>123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AD0C8-6BB9-4358-BEF8-FF490AAB9D07}">
  <sheetPr codeName="Sheet4"/>
  <dimension ref="B2:AN16"/>
  <sheetViews>
    <sheetView tabSelected="1" zoomScale="81" zoomScaleNormal="81" workbookViewId="0">
      <selection activeCell="AD20" sqref="AD20"/>
    </sheetView>
  </sheetViews>
  <sheetFormatPr defaultRowHeight="14.4" x14ac:dyDescent="0.55000000000000004"/>
  <cols>
    <col min="1" max="1" width="2.89453125" style="3" customWidth="1"/>
    <col min="2" max="2" width="18.41796875" style="3" customWidth="1"/>
    <col min="3" max="3" width="14.41796875" style="3" customWidth="1"/>
    <col min="4" max="4" width="8.83984375" style="3"/>
    <col min="5" max="5" width="12.26171875" style="3" customWidth="1"/>
    <col min="6" max="6" width="1" style="3" customWidth="1"/>
    <col min="7" max="7" width="0.578125" style="6" customWidth="1"/>
    <col min="8" max="8" width="0.68359375" style="3" customWidth="1"/>
    <col min="9" max="9" width="15.578125" style="3" customWidth="1"/>
    <col min="10" max="10" width="5.47265625" style="3" customWidth="1"/>
    <col min="11" max="40" width="5.20703125" style="3" customWidth="1"/>
    <col min="41" max="16384" width="8.83984375" style="3"/>
  </cols>
  <sheetData>
    <row r="2" spans="2:40" ht="15.6" x14ac:dyDescent="0.6">
      <c r="B2" s="2" t="s">
        <v>4</v>
      </c>
      <c r="I2" s="9" t="s">
        <v>15</v>
      </c>
      <c r="J2" s="3" t="str">
        <f>IF(OR(C5="", C5="(optional_costum_name)"),_xlfn.CONCAT(C7,"_",C9,"_",C12,"_",E12),C5)</f>
        <v>Current_measure_CA-NU_2020_2050</v>
      </c>
    </row>
    <row r="4" spans="2:40" hidden="1" x14ac:dyDescent="0.55000000000000004">
      <c r="J4" s="3">
        <f>IF(NOT(J5 = ""), SUM(J6:J100), 1)</f>
        <v>0</v>
      </c>
      <c r="K4" s="3">
        <f t="shared" ref="K4:AM4" si="0">IF(NOT(K5 = ""), SUM(K6:K100), 1)</f>
        <v>0</v>
      </c>
      <c r="L4" s="3">
        <f t="shared" si="0"/>
        <v>0</v>
      </c>
      <c r="M4" s="3">
        <f t="shared" si="0"/>
        <v>0</v>
      </c>
      <c r="N4" s="3">
        <f t="shared" si="0"/>
        <v>0</v>
      </c>
      <c r="O4" s="3">
        <f t="shared" si="0"/>
        <v>0</v>
      </c>
      <c r="P4" s="3">
        <f t="shared" si="0"/>
        <v>0</v>
      </c>
      <c r="Q4" s="3">
        <f t="shared" si="0"/>
        <v>0</v>
      </c>
      <c r="R4" s="3">
        <f t="shared" si="0"/>
        <v>0</v>
      </c>
      <c r="S4" s="3">
        <f t="shared" si="0"/>
        <v>0</v>
      </c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  <c r="X4" s="3">
        <f t="shared" si="0"/>
        <v>0</v>
      </c>
      <c r="Y4" s="3">
        <f t="shared" si="0"/>
        <v>0</v>
      </c>
      <c r="Z4" s="3">
        <f t="shared" si="0"/>
        <v>0</v>
      </c>
      <c r="AA4" s="3">
        <f t="shared" si="0"/>
        <v>0</v>
      </c>
      <c r="AB4" s="3">
        <f t="shared" si="0"/>
        <v>0</v>
      </c>
      <c r="AC4" s="3">
        <f t="shared" si="0"/>
        <v>0</v>
      </c>
      <c r="AD4" s="3">
        <f t="shared" si="0"/>
        <v>0</v>
      </c>
      <c r="AE4" s="3">
        <f t="shared" si="0"/>
        <v>0</v>
      </c>
      <c r="AF4" s="3">
        <f t="shared" si="0"/>
        <v>0</v>
      </c>
      <c r="AG4" s="3">
        <f t="shared" si="0"/>
        <v>0</v>
      </c>
      <c r="AH4" s="3">
        <f t="shared" si="0"/>
        <v>0</v>
      </c>
      <c r="AI4" s="3">
        <f t="shared" si="0"/>
        <v>0</v>
      </c>
      <c r="AJ4" s="3">
        <f t="shared" si="0"/>
        <v>0</v>
      </c>
      <c r="AK4" s="3">
        <f t="shared" si="0"/>
        <v>0</v>
      </c>
      <c r="AL4" s="3">
        <f t="shared" si="0"/>
        <v>0</v>
      </c>
      <c r="AM4" s="3">
        <f t="shared" si="0"/>
        <v>0</v>
      </c>
      <c r="AN4" s="3">
        <f>IF(NOT(AN5 = ""), SUM(AN6:AN100), 1)</f>
        <v>0</v>
      </c>
    </row>
    <row r="5" spans="2:40" ht="14.7" thickBot="1" x14ac:dyDescent="0.6">
      <c r="B5" s="2" t="s">
        <v>19</v>
      </c>
      <c r="C5" s="4" t="s">
        <v>20</v>
      </c>
      <c r="D5" s="4"/>
      <c r="E5" s="4"/>
      <c r="I5" s="3" t="s">
        <v>14</v>
      </c>
      <c r="J5" s="3">
        <f>IF(NOT(ISNUMBER(C12)),"",C12)</f>
        <v>2020</v>
      </c>
      <c r="K5" s="3">
        <f>IF(ISNUMBER($E$12),IF($E$12&gt;J5,J5+1,""),"")</f>
        <v>2021</v>
      </c>
      <c r="L5" s="3">
        <f t="shared" ref="L5:AN5" si="1">IF(ISNUMBER($E$12),IF($E$12&gt;K5,K5+1,""),"")</f>
        <v>2022</v>
      </c>
      <c r="M5" s="3">
        <f t="shared" si="1"/>
        <v>2023</v>
      </c>
      <c r="N5" s="3">
        <f t="shared" si="1"/>
        <v>2024</v>
      </c>
      <c r="O5" s="3">
        <f t="shared" si="1"/>
        <v>2025</v>
      </c>
      <c r="P5" s="3">
        <f t="shared" si="1"/>
        <v>2026</v>
      </c>
      <c r="Q5" s="3">
        <f t="shared" si="1"/>
        <v>2027</v>
      </c>
      <c r="R5" s="3">
        <f t="shared" si="1"/>
        <v>2028</v>
      </c>
      <c r="S5" s="3">
        <f t="shared" si="1"/>
        <v>2029</v>
      </c>
      <c r="T5" s="3">
        <f t="shared" si="1"/>
        <v>2030</v>
      </c>
      <c r="U5" s="3">
        <f t="shared" si="1"/>
        <v>2031</v>
      </c>
      <c r="V5" s="3">
        <f t="shared" si="1"/>
        <v>2032</v>
      </c>
      <c r="W5" s="3">
        <f t="shared" si="1"/>
        <v>2033</v>
      </c>
      <c r="X5" s="3">
        <f t="shared" si="1"/>
        <v>2034</v>
      </c>
      <c r="Y5" s="3">
        <f t="shared" si="1"/>
        <v>2035</v>
      </c>
      <c r="Z5" s="3">
        <f t="shared" si="1"/>
        <v>2036</v>
      </c>
      <c r="AA5" s="3">
        <f t="shared" si="1"/>
        <v>2037</v>
      </c>
      <c r="AB5" s="3">
        <f t="shared" si="1"/>
        <v>2038</v>
      </c>
      <c r="AC5" s="3">
        <f t="shared" si="1"/>
        <v>2039</v>
      </c>
      <c r="AD5" s="3">
        <f t="shared" si="1"/>
        <v>2040</v>
      </c>
      <c r="AE5" s="3">
        <f t="shared" si="1"/>
        <v>2041</v>
      </c>
      <c r="AF5" s="3">
        <f t="shared" si="1"/>
        <v>2042</v>
      </c>
      <c r="AG5" s="3">
        <f t="shared" si="1"/>
        <v>2043</v>
      </c>
      <c r="AH5" s="3">
        <f t="shared" si="1"/>
        <v>2044</v>
      </c>
      <c r="AI5" s="3">
        <f t="shared" si="1"/>
        <v>2045</v>
      </c>
      <c r="AJ5" s="3">
        <f t="shared" si="1"/>
        <v>2046</v>
      </c>
      <c r="AK5" s="3">
        <f t="shared" si="1"/>
        <v>2047</v>
      </c>
      <c r="AL5" s="3">
        <f t="shared" si="1"/>
        <v>2048</v>
      </c>
      <c r="AM5" s="3">
        <f t="shared" si="1"/>
        <v>2049</v>
      </c>
      <c r="AN5" s="3">
        <f t="shared" si="1"/>
        <v>2050</v>
      </c>
    </row>
    <row r="6" spans="2:40" x14ac:dyDescent="0.55000000000000004">
      <c r="I6" s="3" t="s">
        <v>27</v>
      </c>
    </row>
    <row r="7" spans="2:40" x14ac:dyDescent="0.55000000000000004">
      <c r="B7" s="2" t="s">
        <v>5</v>
      </c>
      <c r="C7" s="7" t="s">
        <v>21</v>
      </c>
      <c r="I7" s="3" t="s">
        <v>28</v>
      </c>
    </row>
    <row r="8" spans="2:40" ht="14.1" customHeight="1" x14ac:dyDescent="0.55000000000000004">
      <c r="I8" s="3" t="s">
        <v>29</v>
      </c>
    </row>
    <row r="9" spans="2:40" x14ac:dyDescent="0.55000000000000004">
      <c r="B9" s="2" t="s">
        <v>6</v>
      </c>
      <c r="C9" s="7" t="s">
        <v>41</v>
      </c>
      <c r="I9" s="3" t="s">
        <v>30</v>
      </c>
    </row>
    <row r="10" spans="2:40" ht="14.7" customHeight="1" x14ac:dyDescent="0.55000000000000004"/>
    <row r="11" spans="2:40" x14ac:dyDescent="0.55000000000000004">
      <c r="B11" s="2" t="s">
        <v>12</v>
      </c>
    </row>
    <row r="12" spans="2:40" x14ac:dyDescent="0.55000000000000004">
      <c r="B12" s="5" t="s">
        <v>7</v>
      </c>
      <c r="C12" s="8">
        <v>2020</v>
      </c>
      <c r="D12" s="5" t="s">
        <v>8</v>
      </c>
      <c r="E12" s="11">
        <v>2050</v>
      </c>
      <c r="F12" s="10"/>
    </row>
    <row r="15" spans="2:40" ht="14.7" thickBot="1" x14ac:dyDescent="0.6">
      <c r="B15" s="3" t="s">
        <v>31</v>
      </c>
    </row>
    <row r="16" spans="2:40" ht="14.7" thickBot="1" x14ac:dyDescent="0.6">
      <c r="B16" s="12" t="s">
        <v>32</v>
      </c>
      <c r="D16" s="13" t="str">
        <f>IF(COUNTIF(J4:AN4,1)=31,TRUE, "Error")</f>
        <v>Error</v>
      </c>
    </row>
  </sheetData>
  <conditionalFormatting sqref="I5:AN33">
    <cfRule type="cellIs" dxfId="3" priority="4" operator="notEqual">
      <formula>""</formula>
    </cfRule>
  </conditionalFormatting>
  <conditionalFormatting sqref="J6:AN33">
    <cfRule type="expression" dxfId="2" priority="3">
      <formula>AND(NOT(J$5 = ""), NOT($I6 = ""))</formula>
    </cfRule>
  </conditionalFormatting>
  <conditionalFormatting sqref="D16">
    <cfRule type="cellIs" dxfId="1" priority="2" operator="equal">
      <formula>TRUE</formula>
    </cfRule>
    <cfRule type="cellIs" dxfId="0" priority="1" operator="not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uplicate_input_page">
                <anchor moveWithCells="1" sizeWithCells="1">
                  <from>
                    <xdr:col>1</xdr:col>
                    <xdr:colOff>171450</xdr:colOff>
                    <xdr:row>29</xdr:row>
                    <xdr:rowOff>15240</xdr:rowOff>
                  </from>
                  <to>
                    <xdr:col>4</xdr:col>
                    <xdr:colOff>464820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3_Click">
                <anchor moveWithCells="1" sizeWithCells="1">
                  <from>
                    <xdr:col>1</xdr:col>
                    <xdr:colOff>148590</xdr:colOff>
                    <xdr:row>22</xdr:row>
                    <xdr:rowOff>91440</xdr:rowOff>
                  </from>
                  <to>
                    <xdr:col>4</xdr:col>
                    <xdr:colOff>464820</xdr:colOff>
                    <xdr:row>28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E7F0911-569C-4083-9AC0-8E7CB7A57860}">
          <x14:formula1>
            <xm:f>Dropdown_list!$A$2:$A$9</xm:f>
          </x14:formula1>
          <xm:sqref>C7</xm:sqref>
        </x14:dataValidation>
        <x14:dataValidation type="list" allowBlank="1" showInputMessage="1" showErrorMessage="1" xr:uid="{D031439C-4658-4173-8AB3-A9291E92435E}">
          <x14:formula1>
            <xm:f>Dropdown_list!$B$2:$B$16</xm:f>
          </x14:formula1>
          <xm:sqref>C9</xm:sqref>
        </x14:dataValidation>
        <x14:dataValidation type="list" allowBlank="1" showInputMessage="1" showErrorMessage="1" xr:uid="{FA4EEB14-08CF-4DC4-8F43-3EF9BBCFB998}">
          <x14:formula1>
            <xm:f>Dropdown_list!$C$2:$C$33</xm:f>
          </x14:formula1>
          <xm:sqref>E12:F12 C12</xm:sqref>
        </x14:dataValidation>
        <x14:dataValidation type="list" allowBlank="1" showInputMessage="1" showErrorMessage="1" xr:uid="{0369ABC9-7C76-4454-90C5-359D25F4D3F9}">
          <x14:formula1>
            <xm:f>Dropdown_list!$D$2:$D$136</xm:f>
          </x14:formula1>
          <xm:sqref>I6:I300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new_scenario(1)</vt:lpstr>
      <vt:lpstr>Dropdown_list</vt:lpstr>
      <vt:lpstr>default_dataset</vt:lpstr>
      <vt:lpstr>Input_template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Robertson,Alex (il | he, him) (ECCC)</dc:creator>
  <cp:lastModifiedBy>Robertson,Alex (il | he, him) (ECCC)</cp:lastModifiedBy>
  <dcterms:created xsi:type="dcterms:W3CDTF">2024-05-22T12:23:12Z</dcterms:created>
  <dcterms:modified xsi:type="dcterms:W3CDTF">2024-05-22T18:44:10Z</dcterms:modified>
</cp:coreProperties>
</file>