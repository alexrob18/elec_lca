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odelling\spring_school\elec_lca\elec_lca\data\"/>
    </mc:Choice>
  </mc:AlternateContent>
  <xr:revisionPtr revIDLastSave="0" documentId="13_ncr:1_{74A45D50-70D8-4DF7-B936-48B680C20887}" xr6:coauthVersionLast="47" xr6:coauthVersionMax="47" xr10:uidLastSave="{00000000-0000-0000-0000-000000000000}"/>
  <bookViews>
    <workbookView xWindow="-96" yWindow="-96" windowWidth="23232" windowHeight="12432" activeTab="1" xr2:uid="{2BB35CBE-14FB-4B74-8721-64952120167D}"/>
  </bookViews>
  <sheets>
    <sheet name="README" sheetId="1" r:id="rId1"/>
    <sheet name="new_scenario(1)" sheetId="32" r:id="rId2"/>
    <sheet name="Dropdown_list" sheetId="2" r:id="rId3"/>
    <sheet name="default_dataset" sheetId="4" r:id="rId4"/>
    <sheet name="Input_template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2" l="1"/>
  <c r="J4" i="32" s="1"/>
  <c r="J2" i="32"/>
  <c r="J5" i="3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AN5" i="3" s="1"/>
  <c r="AN4" i="3" s="1"/>
  <c r="J2" i="3"/>
  <c r="K5" i="32" l="1"/>
  <c r="J4" i="3"/>
  <c r="Z4" i="3"/>
  <c r="Y4" i="3"/>
  <c r="X4" i="3"/>
  <c r="AM4" i="3"/>
  <c r="W4" i="3"/>
  <c r="AL4" i="3"/>
  <c r="V4" i="3"/>
  <c r="AK4" i="3"/>
  <c r="U4" i="3"/>
  <c r="AJ4" i="3"/>
  <c r="T4" i="3"/>
  <c r="AI4" i="3"/>
  <c r="S4" i="3"/>
  <c r="AH4" i="3"/>
  <c r="R4" i="3"/>
  <c r="AG4" i="3"/>
  <c r="Q4" i="3"/>
  <c r="AF4" i="3"/>
  <c r="P4" i="3"/>
  <c r="AE4" i="3"/>
  <c r="O4" i="3"/>
  <c r="AD4" i="3"/>
  <c r="N4" i="3"/>
  <c r="AC4" i="3"/>
  <c r="M4" i="3"/>
  <c r="AB4" i="3"/>
  <c r="L4" i="3"/>
  <c r="AA4" i="3"/>
  <c r="K4" i="3"/>
  <c r="L5" i="32" l="1"/>
  <c r="K4" i="32"/>
  <c r="D16" i="3"/>
  <c r="M5" i="32" l="1"/>
  <c r="L4" i="32"/>
  <c r="M4" i="32" l="1"/>
  <c r="N5" i="32"/>
  <c r="O5" i="32" l="1"/>
  <c r="N4" i="32"/>
  <c r="P5" i="32" l="1"/>
  <c r="O4" i="32"/>
  <c r="Q5" i="32" l="1"/>
  <c r="P4" i="32"/>
  <c r="R5" i="32" l="1"/>
  <c r="Q4" i="32"/>
  <c r="S5" i="32" l="1"/>
  <c r="R4" i="32"/>
  <c r="T5" i="32" l="1"/>
  <c r="S4" i="32"/>
  <c r="T4" i="32" l="1"/>
  <c r="U5" i="32"/>
  <c r="V5" i="32" l="1"/>
  <c r="U4" i="32"/>
  <c r="W5" i="32" l="1"/>
  <c r="V4" i="32"/>
  <c r="X5" i="32" l="1"/>
  <c r="W4" i="32"/>
  <c r="X4" i="32" l="1"/>
  <c r="Y5" i="32"/>
  <c r="Z5" i="32" l="1"/>
  <c r="Y4" i="32"/>
  <c r="Z4" i="32" l="1"/>
  <c r="AA5" i="32"/>
  <c r="AA4" i="32" l="1"/>
  <c r="AB5" i="32"/>
  <c r="AC5" i="32" l="1"/>
  <c r="AB4" i="32"/>
  <c r="AC4" i="32" l="1"/>
  <c r="AD5" i="32"/>
  <c r="AE5" i="32" l="1"/>
  <c r="AD4" i="32"/>
  <c r="AF5" i="32" l="1"/>
  <c r="AE4" i="32"/>
  <c r="AG5" i="32" l="1"/>
  <c r="AF4" i="32"/>
  <c r="AH5" i="32" l="1"/>
  <c r="AG4" i="32"/>
  <c r="AI5" i="32" l="1"/>
  <c r="AH4" i="32"/>
  <c r="AJ5" i="32" l="1"/>
  <c r="AI4" i="32"/>
  <c r="AJ4" i="32" l="1"/>
  <c r="AK5" i="32"/>
  <c r="AL5" i="32" l="1"/>
  <c r="AK4" i="32"/>
  <c r="AM5" i="32" l="1"/>
  <c r="AL4" i="32"/>
  <c r="AN5" i="32" l="1"/>
  <c r="AN4" i="32" s="1"/>
  <c r="AM4" i="32"/>
  <c r="D16" i="32" l="1"/>
</calcChain>
</file>

<file path=xl/sharedStrings.xml><?xml version="1.0" encoding="utf-8"?>
<sst xmlns="http://schemas.openxmlformats.org/spreadsheetml/2006/main" count="100" uniqueCount="82">
  <si>
    <t>Name of project</t>
  </si>
  <si>
    <t>Objective:</t>
  </si>
  <si>
    <t>Instruction:</t>
  </si>
  <si>
    <t>Source</t>
  </si>
  <si>
    <t>User input</t>
  </si>
  <si>
    <t>Scenario:</t>
  </si>
  <si>
    <t>Location</t>
  </si>
  <si>
    <t>from</t>
  </si>
  <si>
    <t>to</t>
  </si>
  <si>
    <t>Scenario</t>
  </si>
  <si>
    <t>location</t>
  </si>
  <si>
    <t>possible_year</t>
  </si>
  <si>
    <t>Respresented Period</t>
  </si>
  <si>
    <t>Costum</t>
  </si>
  <si>
    <t>Technology list</t>
  </si>
  <si>
    <t>Scenario name:</t>
  </si>
  <si>
    <t>(Select_scenario)</t>
  </si>
  <si>
    <t>(Select_location)</t>
  </si>
  <si>
    <t>(Select_period)</t>
  </si>
  <si>
    <t>Create costum name:</t>
  </si>
  <si>
    <t>(optional_costum_name)</t>
  </si>
  <si>
    <t>Current_measure</t>
  </si>
  <si>
    <t>Canadian_net_zero</t>
  </si>
  <si>
    <t>Global_net_zero</t>
  </si>
  <si>
    <t>Current_measure - modified</t>
  </si>
  <si>
    <t>Canadian_net_zero - modified</t>
  </si>
  <si>
    <t>Global_net_zero-modified</t>
  </si>
  <si>
    <t>tech 1</t>
  </si>
  <si>
    <t>tech2</t>
  </si>
  <si>
    <t>tech 3</t>
  </si>
  <si>
    <t>tech 5</t>
  </si>
  <si>
    <t>Validations:</t>
  </si>
  <si>
    <t>1- all grid mix are equal to 100%</t>
  </si>
  <si>
    <t>CA</t>
  </si>
  <si>
    <t>CA-AB</t>
  </si>
  <si>
    <t>CA-BC</t>
  </si>
  <si>
    <t>CA-MB</t>
  </si>
  <si>
    <t>CA-NB</t>
  </si>
  <si>
    <t>CA-NF</t>
  </si>
  <si>
    <t>CA-NS</t>
  </si>
  <si>
    <t>CA-NT</t>
  </si>
  <si>
    <t>CA-NU</t>
  </si>
  <si>
    <t>CA-ON</t>
  </si>
  <si>
    <t>CA-PE</t>
  </si>
  <si>
    <t>CA-QC</t>
  </si>
  <si>
    <t>CA-SK</t>
  </si>
  <si>
    <t>CA-YK</t>
  </si>
  <si>
    <t>Technologies</t>
  </si>
  <si>
    <t>(select_tech)</t>
  </si>
  <si>
    <t>tech1</t>
  </si>
  <si>
    <t>tech3</t>
  </si>
  <si>
    <t>tech4</t>
  </si>
  <si>
    <t>tech5</t>
  </si>
  <si>
    <t>tech6</t>
  </si>
  <si>
    <t>tech7</t>
  </si>
  <si>
    <t>tech8</t>
  </si>
  <si>
    <t>tech9</t>
  </si>
  <si>
    <t>tech10</t>
  </si>
  <si>
    <t>tech11</t>
  </si>
  <si>
    <t>tech12</t>
  </si>
  <si>
    <t>tech13</t>
  </si>
  <si>
    <t>tech14</t>
  </si>
  <si>
    <t>tech15</t>
  </si>
  <si>
    <t>tech16</t>
  </si>
  <si>
    <t>tech17</t>
  </si>
  <si>
    <t>tech18</t>
  </si>
  <si>
    <t>tech19</t>
  </si>
  <si>
    <t>tech20</t>
  </si>
  <si>
    <t>tech21</t>
  </si>
  <si>
    <t>tech22</t>
  </si>
  <si>
    <t>tech23</t>
  </si>
  <si>
    <t>tech24</t>
  </si>
  <si>
    <t>tech25</t>
  </si>
  <si>
    <t>tech26</t>
  </si>
  <si>
    <t>tech27</t>
  </si>
  <si>
    <t>tech28</t>
  </si>
  <si>
    <t>tech29</t>
  </si>
  <si>
    <t>tech30</t>
  </si>
  <si>
    <t>tech31</t>
  </si>
  <si>
    <t>tech32</t>
  </si>
  <si>
    <t>tech33</t>
  </si>
  <si>
    <t>tech34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</si>
</sst>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4">
    <xf numFmtId="0" fontId="0" fillId="0" borderId="0" xfId="0"/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2" xfId="0" applyFill="1" applyBorder="1"/>
    <xf numFmtId="0" fontId="2" fillId="3" borderId="0" xfId="0" applyFont="1" applyFill="1" applyAlignment="1">
      <alignment horizontal="center"/>
    </xf>
    <xf numFmtId="0" fontId="0" fillId="4" borderId="3" xfId="0" applyFill="1" applyBorder="1"/>
    <xf numFmtId="0" fontId="1" fillId="5" borderId="1" xfId="1" applyFill="1"/>
    <xf numFmtId="0" fontId="1" fillId="5" borderId="1" xfId="1" applyFill="1" applyAlignment="1">
      <alignment horizontal="center"/>
    </xf>
    <xf numFmtId="0" fontId="4" fillId="3" borderId="0" xfId="0" applyFont="1" applyFill="1"/>
    <xf numFmtId="0" fontId="1" fillId="3" borderId="0" xfId="1" applyFill="1" applyBorder="1" applyAlignment="1">
      <alignment horizontal="center"/>
    </xf>
    <xf numFmtId="0" fontId="1" fillId="5" borderId="4" xfId="1" applyFill="1" applyBorder="1" applyAlignment="1">
      <alignment horizontal="center"/>
    </xf>
    <xf numFmtId="0" fontId="0" fillId="3" borderId="0" xfId="0" applyFill="1" applyAlignment="1">
      <alignment horizontal="left" indent="1"/>
    </xf>
    <xf numFmtId="0" fontId="0" fillId="3" borderId="5" xfId="0" applyFill="1" applyBorder="1"/>
  </cellXfs>
  <cellStyles count="2">
    <cellStyle name="Input" xfId="1" builtinId="20"/>
    <cellStyle name="Normal" xfId="0" builtinId="0"/>
  </cellStyles>
  <dxfs count="8">
    <dxf>
      <fill>
        <patternFill>
          <bgColor rgb="FFC00000"/>
        </patternFill>
      </fill>
    </dxf>
    <dxf>
      <fill>
        <patternFill>
          <bgColor rgb="FF00B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17</xdr:row>
          <xdr:rowOff>125730</xdr:rowOff>
        </xdr:from>
        <xdr:to>
          <xdr:col>8</xdr:col>
          <xdr:colOff>163830</xdr:colOff>
          <xdr:row>24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selecting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29</xdr:row>
          <xdr:rowOff>15240</xdr:rowOff>
        </xdr:from>
        <xdr:to>
          <xdr:col>4</xdr:col>
          <xdr:colOff>464820</xdr:colOff>
          <xdr:row>34</xdr:row>
          <xdr:rowOff>152400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A62CCEB5-78D7-4298-A30E-84C237B2B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</xdr:colOff>
          <xdr:row>22</xdr:row>
          <xdr:rowOff>91440</xdr:rowOff>
        </xdr:from>
        <xdr:to>
          <xdr:col>4</xdr:col>
          <xdr:colOff>464820</xdr:colOff>
          <xdr:row>28</xdr:row>
          <xdr:rowOff>15240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A5567372-2A18-41B2-831A-98F8AFAC8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29</xdr:row>
          <xdr:rowOff>15240</xdr:rowOff>
        </xdr:from>
        <xdr:to>
          <xdr:col>4</xdr:col>
          <xdr:colOff>464820</xdr:colOff>
          <xdr:row>34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</xdr:colOff>
          <xdr:row>22</xdr:row>
          <xdr:rowOff>91440</xdr:rowOff>
        </xdr:from>
        <xdr:to>
          <xdr:col>4</xdr:col>
          <xdr:colOff>464820</xdr:colOff>
          <xdr:row>28</xdr:row>
          <xdr:rowOff>15240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03BE-2FFF-4E6D-8869-3968B321A5E6}">
  <sheetPr codeName="Sheet1"/>
  <dimension ref="B2:B16"/>
  <sheetViews>
    <sheetView workbookViewId="0">
      <selection activeCell="F7" sqref="F7"/>
    </sheetView>
  </sheetViews>
  <sheetFormatPr defaultRowHeight="14.4" x14ac:dyDescent="0.55000000000000004"/>
  <cols>
    <col min="2" max="2" width="13.47265625" customWidth="1"/>
  </cols>
  <sheetData>
    <row r="2" spans="2:2" ht="31.5" x14ac:dyDescent="1.2">
      <c r="B2" s="1" t="s">
        <v>0</v>
      </c>
    </row>
    <row r="5" spans="2:2" x14ac:dyDescent="0.55000000000000004">
      <c r="B5" t="s">
        <v>1</v>
      </c>
    </row>
    <row r="8" spans="2:2" x14ac:dyDescent="0.55000000000000004">
      <c r="B8" t="s">
        <v>2</v>
      </c>
    </row>
    <row r="16" spans="2:2" x14ac:dyDescent="0.55000000000000004">
      <c r="B16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uplicate_input_page">
                <anchor moveWithCells="1" sizeWithCells="1">
                  <from>
                    <xdr:col>2</xdr:col>
                    <xdr:colOff>45720</xdr:colOff>
                    <xdr:row>17</xdr:row>
                    <xdr:rowOff>125730</xdr:rowOff>
                  </from>
                  <to>
                    <xdr:col>8</xdr:col>
                    <xdr:colOff>163830</xdr:colOff>
                    <xdr:row>24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08215-6637-44C5-AAD0-9DB03ECEDC96}">
  <sheetPr codeName="Sheet5"/>
  <dimension ref="B2:AN16"/>
  <sheetViews>
    <sheetView tabSelected="1" zoomScale="81" zoomScaleNormal="81" workbookViewId="0">
      <selection activeCell="S25" sqref="S25"/>
    </sheetView>
  </sheetViews>
  <sheetFormatPr defaultRowHeight="14.4" x14ac:dyDescent="0.55000000000000004"/>
  <cols>
    <col min="1" max="1" width="2.89453125" style="3" customWidth="1"/>
    <col min="2" max="2" width="18.41796875" style="3" customWidth="1"/>
    <col min="3" max="3" width="14.41796875" style="3" customWidth="1"/>
    <col min="4" max="4" width="8.83984375" style="3"/>
    <col min="5" max="5" width="12.26171875" style="3" customWidth="1"/>
    <col min="6" max="6" width="1" style="3" customWidth="1"/>
    <col min="7" max="7" width="0.578125" style="6" customWidth="1"/>
    <col min="8" max="8" width="0.68359375" style="3" customWidth="1"/>
    <col min="9" max="9" width="15.578125" style="3" customWidth="1"/>
    <col min="10" max="10" width="5.47265625" style="3" customWidth="1"/>
    <col min="11" max="40" width="5.20703125" style="3" customWidth="1"/>
    <col min="41" max="16384" width="8.83984375" style="3"/>
  </cols>
  <sheetData>
    <row r="2" spans="2:40" ht="15.6" x14ac:dyDescent="0.6">
      <c r="B2" s="2" t="s">
        <v>4</v>
      </c>
      <c r="I2" s="9" t="s">
        <v>15</v>
      </c>
      <c r="J2" s="3" t="str">
        <f>IF(OR(C5="", C5="(optional_costum_name)"),_xlfn.CONCAT(C7,"_",C9,"_",C12,"_",E12),C5)</f>
        <v>(Select_scenario)_(Select_location)_2023_2027</v>
      </c>
    </row>
    <row r="4" spans="2:40" hidden="1" x14ac:dyDescent="0.55000000000000004">
      <c r="J4" s="3">
        <f>IF(NOT(J5 = ""), SUM(J6:J100), 1)</f>
        <v>0</v>
      </c>
      <c r="K4" s="3">
        <f t="shared" ref="K4:AM4" si="0">IF(NOT(K5 = ""), SUM(K6:K100), 1)</f>
        <v>0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</v>
      </c>
      <c r="P4" s="3">
        <f t="shared" si="0"/>
        <v>1</v>
      </c>
      <c r="Q4" s="3">
        <f t="shared" si="0"/>
        <v>1</v>
      </c>
      <c r="R4" s="3">
        <f t="shared" si="0"/>
        <v>1</v>
      </c>
      <c r="S4" s="3">
        <f t="shared" si="0"/>
        <v>1</v>
      </c>
      <c r="T4" s="3">
        <f t="shared" si="0"/>
        <v>1</v>
      </c>
      <c r="U4" s="3">
        <f t="shared" si="0"/>
        <v>1</v>
      </c>
      <c r="V4" s="3">
        <f t="shared" si="0"/>
        <v>1</v>
      </c>
      <c r="W4" s="3">
        <f t="shared" si="0"/>
        <v>1</v>
      </c>
      <c r="X4" s="3">
        <f t="shared" si="0"/>
        <v>1</v>
      </c>
      <c r="Y4" s="3">
        <f t="shared" si="0"/>
        <v>1</v>
      </c>
      <c r="Z4" s="3">
        <f t="shared" si="0"/>
        <v>1</v>
      </c>
      <c r="AA4" s="3">
        <f t="shared" si="0"/>
        <v>1</v>
      </c>
      <c r="AB4" s="3">
        <f t="shared" si="0"/>
        <v>1</v>
      </c>
      <c r="AC4" s="3">
        <f t="shared" si="0"/>
        <v>1</v>
      </c>
      <c r="AD4" s="3">
        <f t="shared" si="0"/>
        <v>1</v>
      </c>
      <c r="AE4" s="3">
        <f t="shared" si="0"/>
        <v>1</v>
      </c>
      <c r="AF4" s="3">
        <f t="shared" si="0"/>
        <v>1</v>
      </c>
      <c r="AG4" s="3">
        <f t="shared" si="0"/>
        <v>1</v>
      </c>
      <c r="AH4" s="3">
        <f t="shared" si="0"/>
        <v>1</v>
      </c>
      <c r="AI4" s="3">
        <f t="shared" si="0"/>
        <v>1</v>
      </c>
      <c r="AJ4" s="3">
        <f t="shared" si="0"/>
        <v>1</v>
      </c>
      <c r="AK4" s="3">
        <f t="shared" si="0"/>
        <v>1</v>
      </c>
      <c r="AL4" s="3">
        <f t="shared" si="0"/>
        <v>1</v>
      </c>
      <c r="AM4" s="3">
        <f t="shared" si="0"/>
        <v>1</v>
      </c>
      <c r="AN4" s="3">
        <f>IF(NOT(AN5 = ""), SUM(AN6:AN100), 1)</f>
        <v>1</v>
      </c>
    </row>
    <row r="5" spans="2:40" ht="14.7" thickBot="1" x14ac:dyDescent="0.6">
      <c r="B5" s="2" t="s">
        <v>19</v>
      </c>
      <c r="C5" s="4" t="s">
        <v>20</v>
      </c>
      <c r="D5" s="4"/>
      <c r="E5" s="4"/>
      <c r="I5" s="3" t="s">
        <v>14</v>
      </c>
      <c r="J5" s="3">
        <f>IF(NOT(ISNUMBER(C12)),"",C12)</f>
        <v>2023</v>
      </c>
      <c r="K5" s="3">
        <f>IF(ISNUMBER($E$12),IF($E$12&gt;J5,J5+1,""),"")</f>
        <v>2024</v>
      </c>
      <c r="L5" s="3">
        <f t="shared" ref="L5:AN5" si="1">IF(ISNUMBER($E$12),IF($E$12&gt;K5,K5+1,""),"")</f>
        <v>2025</v>
      </c>
      <c r="M5" s="3">
        <f t="shared" si="1"/>
        <v>2026</v>
      </c>
      <c r="N5" s="3">
        <f t="shared" si="1"/>
        <v>2027</v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3" t="str">
        <f t="shared" si="1"/>
        <v/>
      </c>
      <c r="S5" s="3" t="str">
        <f t="shared" si="1"/>
        <v/>
      </c>
      <c r="T5" s="3" t="str">
        <f t="shared" si="1"/>
        <v/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1"/>
        <v/>
      </c>
      <c r="AI5" s="3" t="str">
        <f t="shared" si="1"/>
        <v/>
      </c>
      <c r="AJ5" s="3" t="str">
        <f t="shared" si="1"/>
        <v/>
      </c>
      <c r="AK5" s="3" t="str">
        <f t="shared" si="1"/>
        <v/>
      </c>
      <c r="AL5" s="3" t="str">
        <f t="shared" si="1"/>
        <v/>
      </c>
      <c r="AM5" s="3" t="str">
        <f t="shared" si="1"/>
        <v/>
      </c>
      <c r="AN5" s="3" t="str">
        <f t="shared" si="1"/>
        <v/>
      </c>
    </row>
    <row r="6" spans="2:40" x14ac:dyDescent="0.55000000000000004">
      <c r="I6" s="3" t="s">
        <v>28</v>
      </c>
    </row>
    <row r="7" spans="2:40" x14ac:dyDescent="0.55000000000000004">
      <c r="B7" s="2" t="s">
        <v>5</v>
      </c>
      <c r="C7" s="7" t="s">
        <v>16</v>
      </c>
    </row>
    <row r="8" spans="2:40" ht="14.1" customHeight="1" x14ac:dyDescent="0.55000000000000004"/>
    <row r="9" spans="2:40" x14ac:dyDescent="0.55000000000000004">
      <c r="B9" s="2" t="s">
        <v>6</v>
      </c>
      <c r="C9" s="7" t="s">
        <v>17</v>
      </c>
    </row>
    <row r="10" spans="2:40" ht="14.7" customHeight="1" x14ac:dyDescent="0.55000000000000004"/>
    <row r="11" spans="2:40" x14ac:dyDescent="0.55000000000000004">
      <c r="B11" s="2" t="s">
        <v>12</v>
      </c>
    </row>
    <row r="12" spans="2:40" x14ac:dyDescent="0.55000000000000004">
      <c r="B12" s="5" t="s">
        <v>7</v>
      </c>
      <c r="C12" s="8">
        <v>2023</v>
      </c>
      <c r="D12" s="5" t="s">
        <v>8</v>
      </c>
      <c r="E12" s="11">
        <v>2027</v>
      </c>
      <c r="F12" s="10"/>
    </row>
    <row r="15" spans="2:40" ht="14.7" thickBot="1" x14ac:dyDescent="0.6">
      <c r="B15" s="3" t="s">
        <v>31</v>
      </c>
    </row>
    <row r="16" spans="2:40" ht="14.7" thickBot="1" x14ac:dyDescent="0.6">
      <c r="B16" s="12" t="s">
        <v>32</v>
      </c>
      <c r="D16" s="13" t="str">
        <f>IF(COUNTIF(J4:AN4,1)=31,TRUE, "Error")</f>
        <v>Error</v>
      </c>
    </row>
  </sheetData>
  <conditionalFormatting sqref="I5:AN33">
    <cfRule type="cellIs" dxfId="3" priority="4" operator="notEqual">
      <formula>""</formula>
    </cfRule>
  </conditionalFormatting>
  <conditionalFormatting sqref="J6:AN33">
    <cfRule type="expression" dxfId="2" priority="3">
      <formula>AND(NOT(J$5 = ""), NOT($I6 = ""))</formula>
    </cfRule>
  </conditionalFormatting>
  <conditionalFormatting sqref="D16">
    <cfRule type="cellIs" dxfId="0" priority="1" operator="notEqual">
      <formula>TRUE</formula>
    </cfRule>
    <cfRule type="cellIs" dxfId="1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duplicate_input_page">
                <anchor moveWithCells="1" sizeWithCells="1">
                  <from>
                    <xdr:col>1</xdr:col>
                    <xdr:colOff>171450</xdr:colOff>
                    <xdr:row>29</xdr:row>
                    <xdr:rowOff>15240</xdr:rowOff>
                  </from>
                  <to>
                    <xdr:col>4</xdr:col>
                    <xdr:colOff>464820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3_Click">
                <anchor moveWithCells="1" sizeWithCells="1">
                  <from>
                    <xdr:col>1</xdr:col>
                    <xdr:colOff>148590</xdr:colOff>
                    <xdr:row>22</xdr:row>
                    <xdr:rowOff>91440</xdr:rowOff>
                  </from>
                  <to>
                    <xdr:col>4</xdr:col>
                    <xdr:colOff>464820</xdr:colOff>
                    <xdr:row>28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EBC25A6-C441-4AF3-8A98-F91EE7E8FCC2}">
          <x14:formula1>
            <xm:f>Dropdown_list!$C$2:$C$33</xm:f>
          </x14:formula1>
          <xm:sqref>E12:F12 C12</xm:sqref>
        </x14:dataValidation>
        <x14:dataValidation type="list" allowBlank="1" showInputMessage="1" showErrorMessage="1" xr:uid="{5FA7F6A0-E425-46B0-B9A4-BF042FA292BD}">
          <x14:formula1>
            <xm:f>Dropdown_list!$B$2:$B$16</xm:f>
          </x14:formula1>
          <xm:sqref>C9</xm:sqref>
        </x14:dataValidation>
        <x14:dataValidation type="list" allowBlank="1" showInputMessage="1" showErrorMessage="1" xr:uid="{82DDEF4F-B1CA-4192-A780-1AD77DCA3AC0}">
          <x14:formula1>
            <xm:f>Dropdown_list!$A$2:$A$9</xm:f>
          </x14:formula1>
          <xm:sqref>C7</xm:sqref>
        </x14:dataValidation>
        <x14:dataValidation type="list" allowBlank="1" showInputMessage="1" showErrorMessage="1" xr:uid="{E7F0B49D-E8BE-4297-BA5E-BCC68C16E7D0}">
          <x14:formula1>
            <xm:f>Dropdown_list!$D$2:$D$241</xm:f>
          </x14:formula1>
          <xm:sqref>I6:I148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0A35-5712-4CFC-9F27-E60A59AE423A}">
  <sheetPr codeName="Sheet2"/>
  <dimension ref="A1:D36"/>
  <sheetViews>
    <sheetView workbookViewId="0">
      <selection activeCell="L23" sqref="L23"/>
    </sheetView>
  </sheetViews>
  <sheetFormatPr defaultRowHeight="14.4" x14ac:dyDescent="0.55000000000000004"/>
  <cols>
    <col min="1" max="1" width="24.578125" customWidth="1"/>
    <col min="2" max="2" width="13.5234375" customWidth="1"/>
    <col min="3" max="3" width="13.3125" customWidth="1"/>
  </cols>
  <sheetData>
    <row r="1" spans="1:4" x14ac:dyDescent="0.55000000000000004">
      <c r="A1" t="s">
        <v>9</v>
      </c>
      <c r="B1" t="s">
        <v>10</v>
      </c>
      <c r="C1" t="s">
        <v>11</v>
      </c>
      <c r="D1" t="s">
        <v>47</v>
      </c>
    </row>
    <row r="2" spans="1:4" x14ac:dyDescent="0.55000000000000004">
      <c r="A2" t="s">
        <v>16</v>
      </c>
      <c r="B2" t="s">
        <v>17</v>
      </c>
      <c r="C2" t="s">
        <v>18</v>
      </c>
      <c r="D2" t="s">
        <v>48</v>
      </c>
    </row>
    <row r="3" spans="1:4" x14ac:dyDescent="0.55000000000000004">
      <c r="A3" t="s">
        <v>21</v>
      </c>
      <c r="B3" t="s">
        <v>33</v>
      </c>
      <c r="C3">
        <v>2020</v>
      </c>
      <c r="D3" t="s">
        <v>49</v>
      </c>
    </row>
    <row r="4" spans="1:4" x14ac:dyDescent="0.55000000000000004">
      <c r="A4" t="s">
        <v>22</v>
      </c>
      <c r="B4" t="s">
        <v>34</v>
      </c>
      <c r="C4">
        <v>2021</v>
      </c>
      <c r="D4" t="s">
        <v>28</v>
      </c>
    </row>
    <row r="5" spans="1:4" x14ac:dyDescent="0.55000000000000004">
      <c r="A5" t="s">
        <v>23</v>
      </c>
      <c r="B5" t="s">
        <v>35</v>
      </c>
      <c r="C5">
        <v>2022</v>
      </c>
      <c r="D5" t="s">
        <v>50</v>
      </c>
    </row>
    <row r="6" spans="1:4" x14ac:dyDescent="0.55000000000000004">
      <c r="A6" t="s">
        <v>24</v>
      </c>
      <c r="B6" t="s">
        <v>36</v>
      </c>
      <c r="C6">
        <v>2023</v>
      </c>
      <c r="D6" t="s">
        <v>51</v>
      </c>
    </row>
    <row r="7" spans="1:4" x14ac:dyDescent="0.55000000000000004">
      <c r="A7" t="s">
        <v>25</v>
      </c>
      <c r="B7" t="s">
        <v>37</v>
      </c>
      <c r="C7">
        <v>2024</v>
      </c>
      <c r="D7" t="s">
        <v>52</v>
      </c>
    </row>
    <row r="8" spans="1:4" x14ac:dyDescent="0.55000000000000004">
      <c r="A8" t="s">
        <v>26</v>
      </c>
      <c r="B8" t="s">
        <v>38</v>
      </c>
      <c r="C8">
        <v>2025</v>
      </c>
      <c r="D8" t="s">
        <v>53</v>
      </c>
    </row>
    <row r="9" spans="1:4" x14ac:dyDescent="0.55000000000000004">
      <c r="A9" t="s">
        <v>13</v>
      </c>
      <c r="B9" t="s">
        <v>39</v>
      </c>
      <c r="C9">
        <v>2026</v>
      </c>
      <c r="D9" t="s">
        <v>54</v>
      </c>
    </row>
    <row r="10" spans="1:4" x14ac:dyDescent="0.55000000000000004">
      <c r="B10" t="s">
        <v>40</v>
      </c>
      <c r="C10">
        <v>2027</v>
      </c>
      <c r="D10" t="s">
        <v>55</v>
      </c>
    </row>
    <row r="11" spans="1:4" x14ac:dyDescent="0.55000000000000004">
      <c r="B11" t="s">
        <v>41</v>
      </c>
      <c r="C11">
        <v>2028</v>
      </c>
      <c r="D11" t="s">
        <v>56</v>
      </c>
    </row>
    <row r="12" spans="1:4" x14ac:dyDescent="0.55000000000000004">
      <c r="B12" t="s">
        <v>42</v>
      </c>
      <c r="C12">
        <v>2029</v>
      </c>
      <c r="D12" t="s">
        <v>57</v>
      </c>
    </row>
    <row r="13" spans="1:4" x14ac:dyDescent="0.55000000000000004">
      <c r="B13" t="s">
        <v>43</v>
      </c>
      <c r="C13">
        <v>2030</v>
      </c>
      <c r="D13" t="s">
        <v>58</v>
      </c>
    </row>
    <row r="14" spans="1:4" x14ac:dyDescent="0.55000000000000004">
      <c r="B14" t="s">
        <v>44</v>
      </c>
      <c r="C14">
        <v>2031</v>
      </c>
      <c r="D14" t="s">
        <v>59</v>
      </c>
    </row>
    <row r="15" spans="1:4" x14ac:dyDescent="0.55000000000000004">
      <c r="B15" t="s">
        <v>45</v>
      </c>
      <c r="C15">
        <v>2032</v>
      </c>
      <c r="D15" t="s">
        <v>60</v>
      </c>
    </row>
    <row r="16" spans="1:4" x14ac:dyDescent="0.55000000000000004">
      <c r="B16" t="s">
        <v>46</v>
      </c>
      <c r="C16">
        <v>2033</v>
      </c>
      <c r="D16" t="s">
        <v>61</v>
      </c>
    </row>
    <row r="17" spans="3:4" x14ac:dyDescent="0.55000000000000004">
      <c r="C17">
        <v>2034</v>
      </c>
      <c r="D17" t="s">
        <v>62</v>
      </c>
    </row>
    <row r="18" spans="3:4" x14ac:dyDescent="0.55000000000000004">
      <c r="C18">
        <v>2035</v>
      </c>
      <c r="D18" t="s">
        <v>63</v>
      </c>
    </row>
    <row r="19" spans="3:4" x14ac:dyDescent="0.55000000000000004">
      <c r="C19">
        <v>2036</v>
      </c>
      <c r="D19" t="s">
        <v>64</v>
      </c>
    </row>
    <row r="20" spans="3:4" x14ac:dyDescent="0.55000000000000004">
      <c r="C20">
        <v>2037</v>
      </c>
      <c r="D20" t="s">
        <v>65</v>
      </c>
    </row>
    <row r="21" spans="3:4" x14ac:dyDescent="0.55000000000000004">
      <c r="C21">
        <v>2038</v>
      </c>
      <c r="D21" t="s">
        <v>66</v>
      </c>
    </row>
    <row r="22" spans="3:4" x14ac:dyDescent="0.55000000000000004">
      <c r="C22">
        <v>2039</v>
      </c>
      <c r="D22" t="s">
        <v>67</v>
      </c>
    </row>
    <row r="23" spans="3:4" x14ac:dyDescent="0.55000000000000004">
      <c r="C23">
        <v>2040</v>
      </c>
      <c r="D23" t="s">
        <v>68</v>
      </c>
    </row>
    <row r="24" spans="3:4" x14ac:dyDescent="0.55000000000000004">
      <c r="C24">
        <v>2041</v>
      </c>
      <c r="D24" t="s">
        <v>69</v>
      </c>
    </row>
    <row r="25" spans="3:4" x14ac:dyDescent="0.55000000000000004">
      <c r="C25">
        <v>2042</v>
      </c>
      <c r="D25" t="s">
        <v>70</v>
      </c>
    </row>
    <row r="26" spans="3:4" x14ac:dyDescent="0.55000000000000004">
      <c r="C26">
        <v>2043</v>
      </c>
      <c r="D26" t="s">
        <v>71</v>
      </c>
    </row>
    <row r="27" spans="3:4" x14ac:dyDescent="0.55000000000000004">
      <c r="C27">
        <v>2044</v>
      </c>
      <c r="D27" t="s">
        <v>72</v>
      </c>
    </row>
    <row r="28" spans="3:4" x14ac:dyDescent="0.55000000000000004">
      <c r="C28">
        <v>2045</v>
      </c>
      <c r="D28" t="s">
        <v>73</v>
      </c>
    </row>
    <row r="29" spans="3:4" x14ac:dyDescent="0.55000000000000004">
      <c r="C29">
        <v>2046</v>
      </c>
      <c r="D29" t="s">
        <v>74</v>
      </c>
    </row>
    <row r="30" spans="3:4" x14ac:dyDescent="0.55000000000000004">
      <c r="C30">
        <v>2047</v>
      </c>
      <c r="D30" t="s">
        <v>75</v>
      </c>
    </row>
    <row r="31" spans="3:4" x14ac:dyDescent="0.55000000000000004">
      <c r="C31">
        <v>2048</v>
      </c>
      <c r="D31" t="s">
        <v>76</v>
      </c>
    </row>
    <row r="32" spans="3:4" x14ac:dyDescent="0.55000000000000004">
      <c r="C32">
        <v>2049</v>
      </c>
      <c r="D32" t="s">
        <v>77</v>
      </c>
    </row>
    <row r="33" spans="3:4" x14ac:dyDescent="0.55000000000000004">
      <c r="C33">
        <v>2050</v>
      </c>
      <c r="D33" t="s">
        <v>78</v>
      </c>
    </row>
    <row r="34" spans="3:4" x14ac:dyDescent="0.55000000000000004">
      <c r="D34" t="s">
        <v>79</v>
      </c>
    </row>
    <row r="35" spans="3:4" x14ac:dyDescent="0.55000000000000004">
      <c r="D35" t="s">
        <v>80</v>
      </c>
    </row>
    <row r="36" spans="3:4" x14ac:dyDescent="0.55000000000000004">
      <c r="D36" t="s">
        <v>81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CB04-F62B-4F86-BF47-E1C528BEDC23}">
  <sheetPr codeName="Sheet3"/>
  <dimension ref="A1"/>
  <sheetViews>
    <sheetView workbookViewId="0">
      <selection activeCell="J22" sqref="J22"/>
    </sheetView>
  </sheetViews>
  <sheetFormatPr defaultRowHeight="14.4" x14ac:dyDescent="0.5500000000000000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D0C8-6BB9-4358-BEF8-FF490AAB9D07}">
  <sheetPr codeName="Sheet4"/>
  <dimension ref="B2:AN16"/>
  <sheetViews>
    <sheetView zoomScale="81" zoomScaleNormal="81" workbookViewId="0">
      <selection activeCell="S14" sqref="S14"/>
    </sheetView>
  </sheetViews>
  <sheetFormatPr defaultRowHeight="14.4" x14ac:dyDescent="0.55000000000000004"/>
  <cols>
    <col min="1" max="1" width="2.89453125" style="3" customWidth="1"/>
    <col min="2" max="2" width="18.41796875" style="3" customWidth="1"/>
    <col min="3" max="3" width="14.41796875" style="3" customWidth="1"/>
    <col min="4" max="4" width="8.83984375" style="3"/>
    <col min="5" max="5" width="12.26171875" style="3" customWidth="1"/>
    <col min="6" max="6" width="1" style="3" customWidth="1"/>
    <col min="7" max="7" width="0.578125" style="6" customWidth="1"/>
    <col min="8" max="8" width="0.68359375" style="3" customWidth="1"/>
    <col min="9" max="9" width="15.578125" style="3" customWidth="1"/>
    <col min="10" max="10" width="5.47265625" style="3" customWidth="1"/>
    <col min="11" max="40" width="5.20703125" style="3" customWidth="1"/>
    <col min="41" max="16384" width="8.83984375" style="3"/>
  </cols>
  <sheetData>
    <row r="2" spans="2:40" ht="15.6" x14ac:dyDescent="0.6">
      <c r="B2" s="2" t="s">
        <v>4</v>
      </c>
      <c r="I2" s="9" t="s">
        <v>15</v>
      </c>
      <c r="J2" s="3" t="str">
        <f>IF(OR(C5="", C5="(optional_costum_name)"),_xlfn.CONCAT(C7,"_",C9,"_",C12,"_",E12),C5)</f>
        <v>Current_measure_CA-NU_2028_2029</v>
      </c>
    </row>
    <row r="4" spans="2:40" hidden="1" x14ac:dyDescent="0.55000000000000004">
      <c r="J4" s="3">
        <f>IF(NOT(J5 = ""), SUM(J6:J100), 1)</f>
        <v>0</v>
      </c>
      <c r="K4" s="3">
        <f t="shared" ref="K4:AM4" si="0">IF(NOT(K5 = ""), SUM(K6:K100), 1)</f>
        <v>0</v>
      </c>
      <c r="L4" s="3">
        <f t="shared" si="0"/>
        <v>1</v>
      </c>
      <c r="M4" s="3">
        <f t="shared" si="0"/>
        <v>1</v>
      </c>
      <c r="N4" s="3">
        <f t="shared" si="0"/>
        <v>1</v>
      </c>
      <c r="O4" s="3">
        <f t="shared" si="0"/>
        <v>1</v>
      </c>
      <c r="P4" s="3">
        <f t="shared" si="0"/>
        <v>1</v>
      </c>
      <c r="Q4" s="3">
        <f t="shared" si="0"/>
        <v>1</v>
      </c>
      <c r="R4" s="3">
        <f t="shared" si="0"/>
        <v>1</v>
      </c>
      <c r="S4" s="3">
        <f t="shared" si="0"/>
        <v>1</v>
      </c>
      <c r="T4" s="3">
        <f t="shared" si="0"/>
        <v>1</v>
      </c>
      <c r="U4" s="3">
        <f t="shared" si="0"/>
        <v>1</v>
      </c>
      <c r="V4" s="3">
        <f t="shared" si="0"/>
        <v>1</v>
      </c>
      <c r="W4" s="3">
        <f t="shared" si="0"/>
        <v>1</v>
      </c>
      <c r="X4" s="3">
        <f t="shared" si="0"/>
        <v>1</v>
      </c>
      <c r="Y4" s="3">
        <f t="shared" si="0"/>
        <v>1</v>
      </c>
      <c r="Z4" s="3">
        <f t="shared" si="0"/>
        <v>1</v>
      </c>
      <c r="AA4" s="3">
        <f t="shared" si="0"/>
        <v>1</v>
      </c>
      <c r="AB4" s="3">
        <f t="shared" si="0"/>
        <v>1</v>
      </c>
      <c r="AC4" s="3">
        <f t="shared" si="0"/>
        <v>1</v>
      </c>
      <c r="AD4" s="3">
        <f t="shared" si="0"/>
        <v>1</v>
      </c>
      <c r="AE4" s="3">
        <f t="shared" si="0"/>
        <v>1</v>
      </c>
      <c r="AF4" s="3">
        <f t="shared" si="0"/>
        <v>1</v>
      </c>
      <c r="AG4" s="3">
        <f t="shared" si="0"/>
        <v>1</v>
      </c>
      <c r="AH4" s="3">
        <f t="shared" si="0"/>
        <v>1</v>
      </c>
      <c r="AI4" s="3">
        <f t="shared" si="0"/>
        <v>1</v>
      </c>
      <c r="AJ4" s="3">
        <f t="shared" si="0"/>
        <v>1</v>
      </c>
      <c r="AK4" s="3">
        <f t="shared" si="0"/>
        <v>1</v>
      </c>
      <c r="AL4" s="3">
        <f t="shared" si="0"/>
        <v>1</v>
      </c>
      <c r="AM4" s="3">
        <f t="shared" si="0"/>
        <v>1</v>
      </c>
      <c r="AN4" s="3">
        <f>IF(NOT(AN5 = ""), SUM(AN6:AN100), 1)</f>
        <v>1</v>
      </c>
    </row>
    <row r="5" spans="2:40" ht="14.7" thickBot="1" x14ac:dyDescent="0.6">
      <c r="B5" s="2" t="s">
        <v>19</v>
      </c>
      <c r="C5" s="4" t="s">
        <v>20</v>
      </c>
      <c r="D5" s="4"/>
      <c r="E5" s="4"/>
      <c r="I5" s="3" t="s">
        <v>14</v>
      </c>
      <c r="J5" s="3">
        <f>IF(NOT(ISNUMBER(C12)),"",C12)</f>
        <v>2028</v>
      </c>
      <c r="K5" s="3">
        <f>IF(ISNUMBER($E$12),IF($E$12&gt;J5,J5+1,""),"")</f>
        <v>2029</v>
      </c>
      <c r="L5" s="3" t="str">
        <f t="shared" ref="L5:AN5" si="1">IF(ISNUMBER($E$12),IF($E$12&gt;K5,K5+1,""),"")</f>
        <v/>
      </c>
      <c r="M5" s="3" t="str">
        <f t="shared" si="1"/>
        <v/>
      </c>
      <c r="N5" s="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3" t="str">
        <f t="shared" si="1"/>
        <v/>
      </c>
      <c r="S5" s="3" t="str">
        <f t="shared" si="1"/>
        <v/>
      </c>
      <c r="T5" s="3" t="str">
        <f t="shared" si="1"/>
        <v/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1"/>
        <v/>
      </c>
      <c r="AI5" s="3" t="str">
        <f t="shared" si="1"/>
        <v/>
      </c>
      <c r="AJ5" s="3" t="str">
        <f t="shared" si="1"/>
        <v/>
      </c>
      <c r="AK5" s="3" t="str">
        <f t="shared" si="1"/>
        <v/>
      </c>
      <c r="AL5" s="3" t="str">
        <f t="shared" si="1"/>
        <v/>
      </c>
      <c r="AM5" s="3" t="str">
        <f t="shared" si="1"/>
        <v/>
      </c>
      <c r="AN5" s="3" t="str">
        <f t="shared" si="1"/>
        <v/>
      </c>
    </row>
    <row r="6" spans="2:40" x14ac:dyDescent="0.55000000000000004">
      <c r="I6" s="3" t="s">
        <v>27</v>
      </c>
    </row>
    <row r="7" spans="2:40" x14ac:dyDescent="0.55000000000000004">
      <c r="B7" s="2" t="s">
        <v>5</v>
      </c>
      <c r="C7" s="7" t="s">
        <v>21</v>
      </c>
      <c r="I7" s="3" t="s">
        <v>28</v>
      </c>
    </row>
    <row r="8" spans="2:40" ht="14.1" customHeight="1" x14ac:dyDescent="0.55000000000000004">
      <c r="I8" s="3" t="s">
        <v>29</v>
      </c>
    </row>
    <row r="9" spans="2:40" x14ac:dyDescent="0.55000000000000004">
      <c r="B9" s="2" t="s">
        <v>6</v>
      </c>
      <c r="C9" s="7" t="s">
        <v>41</v>
      </c>
      <c r="I9" s="3" t="s">
        <v>30</v>
      </c>
    </row>
    <row r="10" spans="2:40" ht="14.7" customHeight="1" x14ac:dyDescent="0.55000000000000004"/>
    <row r="11" spans="2:40" x14ac:dyDescent="0.55000000000000004">
      <c r="B11" s="2" t="s">
        <v>12</v>
      </c>
    </row>
    <row r="12" spans="2:40" x14ac:dyDescent="0.55000000000000004">
      <c r="B12" s="5" t="s">
        <v>7</v>
      </c>
      <c r="C12" s="8">
        <v>2028</v>
      </c>
      <c r="D12" s="5" t="s">
        <v>8</v>
      </c>
      <c r="E12" s="11">
        <v>2029</v>
      </c>
      <c r="F12" s="10"/>
    </row>
    <row r="15" spans="2:40" ht="14.7" thickBot="1" x14ac:dyDescent="0.6">
      <c r="B15" s="3" t="s">
        <v>31</v>
      </c>
    </row>
    <row r="16" spans="2:40" ht="14.7" thickBot="1" x14ac:dyDescent="0.6">
      <c r="B16" s="12" t="s">
        <v>32</v>
      </c>
      <c r="D16" s="13" t="str">
        <f>IF(COUNTIF(J4:AN4,1)=31,TRUE, "Error")</f>
        <v>Error</v>
      </c>
    </row>
  </sheetData>
  <conditionalFormatting sqref="I5:AN33">
    <cfRule type="cellIs" dxfId="7" priority="4" operator="notEqual">
      <formula>""</formula>
    </cfRule>
  </conditionalFormatting>
  <conditionalFormatting sqref="J6:AN33">
    <cfRule type="expression" dxfId="6" priority="3">
      <formula>AND(NOT(J$5 = ""), NOT($I6 = ""))</formula>
    </cfRule>
  </conditionalFormatting>
  <conditionalFormatting sqref="D16">
    <cfRule type="cellIs" dxfId="5" priority="2" operator="equal">
      <formula>TRUE</formula>
    </cfRule>
    <cfRule type="cellIs" dxfId="4" priority="1" operator="not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plicate_input_page">
                <anchor moveWithCells="1" sizeWithCells="1">
                  <from>
                    <xdr:col>1</xdr:col>
                    <xdr:colOff>171450</xdr:colOff>
                    <xdr:row>29</xdr:row>
                    <xdr:rowOff>15240</xdr:rowOff>
                  </from>
                  <to>
                    <xdr:col>4</xdr:col>
                    <xdr:colOff>464820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148590</xdr:colOff>
                    <xdr:row>22</xdr:row>
                    <xdr:rowOff>91440</xdr:rowOff>
                  </from>
                  <to>
                    <xdr:col>4</xdr:col>
                    <xdr:colOff>464820</xdr:colOff>
                    <xdr:row>28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E7F0911-569C-4083-9AC0-8E7CB7A57860}">
          <x14:formula1>
            <xm:f>Dropdown_list!$A$2:$A$9</xm:f>
          </x14:formula1>
          <xm:sqref>C7</xm:sqref>
        </x14:dataValidation>
        <x14:dataValidation type="list" allowBlank="1" showInputMessage="1" showErrorMessage="1" xr:uid="{D031439C-4658-4173-8AB3-A9291E92435E}">
          <x14:formula1>
            <xm:f>Dropdown_list!$B$2:$B$16</xm:f>
          </x14:formula1>
          <xm:sqref>C9</xm:sqref>
        </x14:dataValidation>
        <x14:dataValidation type="list" allowBlank="1" showInputMessage="1" showErrorMessage="1" xr:uid="{FA4EEB14-08CF-4DC4-8F43-3EF9BBCFB998}">
          <x14:formula1>
            <xm:f>Dropdown_list!$C$2:$C$33</xm:f>
          </x14:formula1>
          <xm:sqref>E12:F12 C12</xm:sqref>
        </x14:dataValidation>
        <x14:dataValidation type="list" allowBlank="1" showInputMessage="1" showErrorMessage="1" xr:uid="{0369ABC9-7C76-4454-90C5-359D25F4D3F9}">
          <x14:formula1>
            <xm:f>Dropdown_list!$D$2:$D$136</xm:f>
          </x14:formula1>
          <xm:sqref>I6:I300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new_scenario(1)</vt:lpstr>
      <vt:lpstr>Dropdown_list</vt:lpstr>
      <vt:lpstr>default_dataset</vt:lpstr>
      <vt:lpstr>Input_template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Robertson,Alex (il | he, him) (ECCC)</dc:creator>
  <cp:lastModifiedBy>Robertson,Alex (il, lui | he, him) (ECCC)</cp:lastModifiedBy>
  <dcterms:created xsi:type="dcterms:W3CDTF">2024-05-22T12:23:12Z</dcterms:created>
  <dcterms:modified xsi:type="dcterms:W3CDTF">2024-05-22T15:22:36Z</dcterms:modified>
</cp:coreProperties>
</file>